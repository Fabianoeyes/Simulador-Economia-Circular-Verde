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fileSharing readOnlyRecommended="1"/>
  <workbookPr hidePivotFieldList="1"/>
  <mc:AlternateContent xmlns:mc="http://schemas.openxmlformats.org/markup-compatibility/2006">
    <mc:Choice Requires="x15">
      <x15ac:absPath xmlns:x15ac="http://schemas.microsoft.com/office/spreadsheetml/2010/11/ac" url="/Users/macbookpro/Desktop/"/>
    </mc:Choice>
  </mc:AlternateContent>
  <xr:revisionPtr revIDLastSave="0" documentId="8_{F51E05C7-83ED-8349-92DD-AB66B5846470}" xr6:coauthVersionLast="47" xr6:coauthVersionMax="47" xr10:uidLastSave="{00000000-0000-0000-0000-000000000000}"/>
  <bookViews>
    <workbookView xWindow="0" yWindow="760" windowWidth="23260" windowHeight="12460" activeTab="1" xr2:uid="{00000000-000D-0000-FFFF-FFFF00000000}"/>
  </bookViews>
  <sheets>
    <sheet name="Simulador &gt;&gt;" sheetId="28" state="hidden" r:id="rId1"/>
    <sheet name="Simulador Eco Circ Verde" sheetId="23" r:id="rId2"/>
    <sheet name="Inputs &gt;&gt;" sheetId="46" state="hidden" r:id="rId3"/>
    <sheet name="Pontos Ecoa" sheetId="49" state="hidden" r:id="rId4"/>
    <sheet name="Taxa Adquirência" sheetId="19" state="hidden" r:id="rId5"/>
    <sheet name="Antecipação" sheetId="25" state="hidden" r:id="rId6"/>
    <sheet name="Outros Serviços" sheetId="4" state="hidden" r:id="rId7"/>
    <sheet name="Taxas Bandeira" sheetId="14" state="hidden" r:id="rId8"/>
    <sheet name="Outros" sheetId="20" state="hidden" r:id="rId9"/>
  </sheets>
  <definedNames>
    <definedName name="_xlnm._FilterDatabase" localSheetId="7" hidden="1">'Taxas Bandeira'!$A$1:$N$60</definedName>
    <definedName name="_xlnm.Print_Area" localSheetId="5">Antecipação!#REF!</definedName>
    <definedName name="_xlnm.Print_Area" localSheetId="6">'Outros Serviços'!$A$1:$B$7</definedName>
    <definedName name="_xlnm.Print_Area" localSheetId="3">'Pontos Ecoa'!$A$1:$B$2</definedName>
    <definedName name="_xlnm.Print_Area" localSheetId="1">'Simulador Eco Circ Verde'!$A$1:$N$39</definedName>
    <definedName name="Bandeiras">Outros!$C$2:$C$4</definedName>
    <definedName name="distribuidora">Tabela</definedName>
    <definedName name="Distribuidoras" localSheetId="5">#REF!</definedName>
    <definedName name="Distribuidoras" localSheetId="1">#REF!</definedName>
    <definedName name="Distribuidoras" localSheetId="7">#REF!</definedName>
    <definedName name="Distribuidoras">#REF!</definedName>
    <definedName name="solver_eng" localSheetId="1" hidden="1">1</definedName>
    <definedName name="solver_lin" localSheetId="1" hidden="1">2</definedName>
    <definedName name="solver_neg" localSheetId="1" hidden="1">1</definedName>
    <definedName name="solver_num" localSheetId="1" hidden="1">0</definedName>
    <definedName name="solver_opt" localSheetId="1" hidden="1">'Simulador Eco Circ Verde'!#REF!</definedName>
    <definedName name="solver_typ" localSheetId="1" hidden="1">1</definedName>
    <definedName name="solver_val" localSheetId="1" hidden="1">0</definedName>
    <definedName name="solver_ver" localSheetId="1" hidden="1">2</definedName>
    <definedName name="Tabela">#REF!</definedName>
    <definedName name="_xlnm.Print_Titles" localSheetId="6">'Outros Serviços'!$1:$1</definedName>
    <definedName name="_xlnm.Print_Titles" localSheetId="3">'Pontos Ecoa'!$1:$1</definedName>
    <definedName name="Varejo">Outros!$C$2:$C$4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23" l="1"/>
  <c r="M18" i="23" s="1"/>
  <c r="M23" i="23" s="1"/>
  <c r="C9" i="49"/>
  <c r="C10" i="49" s="1"/>
  <c r="C11" i="49" s="1"/>
  <c r="C12" i="49" s="1"/>
  <c r="C13" i="49" s="1"/>
  <c r="C14" i="49" s="1"/>
  <c r="C15" i="49" s="1"/>
  <c r="C16" i="49" s="1"/>
  <c r="C17" i="49" s="1"/>
  <c r="C18" i="49" s="1"/>
  <c r="I23" i="23" s="1"/>
  <c r="C8" i="49"/>
  <c r="I22" i="23"/>
  <c r="I21" i="23"/>
  <c r="C10" i="19"/>
  <c r="C11" i="19"/>
  <c r="P4" i="20"/>
  <c r="P5" i="20" s="1"/>
  <c r="P6" i="20" s="1"/>
  <c r="P3" i="20"/>
  <c r="H5" i="20" l="1"/>
  <c r="H6" i="20" s="1"/>
  <c r="H7" i="20" s="1"/>
  <c r="H8" i="20" s="1"/>
  <c r="H9" i="20" s="1"/>
  <c r="H10" i="20" s="1"/>
  <c r="H11" i="20" s="1"/>
  <c r="H12" i="20" s="1"/>
  <c r="H13" i="20" s="1"/>
  <c r="H14" i="20" s="1"/>
  <c r="H15" i="20" s="1"/>
  <c r="H16" i="20" s="1"/>
  <c r="H17" i="20" s="1"/>
  <c r="H18" i="20" s="1"/>
  <c r="H19" i="20" s="1"/>
  <c r="H20" i="20" s="1"/>
  <c r="H21" i="20" s="1"/>
  <c r="H22" i="20" s="1"/>
  <c r="H23" i="20" s="1"/>
  <c r="H24" i="20" s="1"/>
  <c r="H25" i="20" s="1"/>
  <c r="H26" i="20" s="1"/>
  <c r="H27" i="20" s="1"/>
  <c r="H28" i="20" s="1"/>
  <c r="H29" i="20" s="1"/>
  <c r="H30" i="20" s="1"/>
  <c r="H31" i="20" s="1"/>
  <c r="H32" i="20" s="1"/>
  <c r="H4" i="20"/>
  <c r="L10" i="23"/>
  <c r="M10" i="23" s="1"/>
  <c r="E33" i="23"/>
  <c r="C15" i="23"/>
  <c r="N2" i="20" l="1"/>
  <c r="L2" i="20"/>
  <c r="M2" i="20"/>
  <c r="K2" i="20"/>
  <c r="N10" i="20"/>
  <c r="N9" i="20" s="1"/>
  <c r="N8" i="20" s="1"/>
  <c r="N7" i="20" s="1"/>
  <c r="N6" i="20" s="1"/>
  <c r="N5" i="20" s="1"/>
  <c r="N4" i="20" s="1"/>
  <c r="N3" i="20" s="1"/>
  <c r="N11" i="20"/>
  <c r="M9" i="20"/>
  <c r="M8" i="20" s="1"/>
  <c r="M7" i="20" s="1"/>
  <c r="M6" i="20" s="1"/>
  <c r="M5" i="20" s="1"/>
  <c r="M4" i="20" s="1"/>
  <c r="M3" i="20" s="1"/>
  <c r="L4" i="20"/>
  <c r="L3" i="20" s="1"/>
  <c r="J9" i="25" l="1"/>
  <c r="J10" i="25" s="1"/>
  <c r="C20" i="25"/>
  <c r="C19" i="25"/>
  <c r="C18" i="25"/>
  <c r="C17" i="25"/>
  <c r="C16" i="25"/>
  <c r="C15" i="25"/>
  <c r="C14" i="25"/>
  <c r="C13" i="25"/>
  <c r="C12" i="25"/>
  <c r="C11" i="25"/>
  <c r="C10" i="25"/>
  <c r="C9" i="25"/>
  <c r="G4" i="20"/>
  <c r="G5" i="20" s="1"/>
  <c r="G6" i="20" s="1"/>
  <c r="G7" i="20" s="1"/>
  <c r="G8" i="20" s="1"/>
  <c r="G9" i="20" s="1"/>
  <c r="G10" i="20" s="1"/>
  <c r="G11" i="20" s="1"/>
  <c r="G12" i="20" s="1"/>
  <c r="G13" i="20" s="1"/>
  <c r="G14" i="20" s="1"/>
  <c r="G15" i="20" s="1"/>
  <c r="G16" i="20" s="1"/>
  <c r="G17" i="20" s="1"/>
  <c r="G18" i="20" s="1"/>
  <c r="G19" i="20" s="1"/>
  <c r="G20" i="20" s="1"/>
  <c r="G21" i="20" s="1"/>
  <c r="G22" i="20" s="1"/>
  <c r="G23" i="20" s="1"/>
  <c r="G24" i="20" s="1"/>
  <c r="G25" i="20" s="1"/>
  <c r="G26" i="20" s="1"/>
  <c r="G27" i="20" s="1"/>
  <c r="G28" i="20" s="1"/>
  <c r="G29" i="20" s="1"/>
  <c r="G30" i="20" s="1"/>
  <c r="G31" i="20" s="1"/>
  <c r="G32" i="20" s="1"/>
  <c r="G33" i="20" s="1"/>
  <c r="G34" i="20" s="1"/>
  <c r="G35" i="20" s="1"/>
  <c r="G36" i="20" s="1"/>
  <c r="G37" i="20" s="1"/>
  <c r="G3" i="20"/>
  <c r="J75" i="25"/>
  <c r="J76" i="25" s="1"/>
  <c r="J87" i="25" s="1"/>
  <c r="J53" i="25"/>
  <c r="J54" i="25" s="1"/>
  <c r="J65" i="25" s="1"/>
  <c r="J31" i="25"/>
  <c r="J32" i="25" s="1"/>
  <c r="J43" i="25" s="1"/>
  <c r="C87" i="25"/>
  <c r="C86" i="25"/>
  <c r="C85" i="25"/>
  <c r="C84" i="25"/>
  <c r="C83" i="25"/>
  <c r="C82" i="25"/>
  <c r="C81" i="25"/>
  <c r="C80" i="25"/>
  <c r="C79" i="25"/>
  <c r="C78" i="25"/>
  <c r="C77" i="25"/>
  <c r="C76" i="25"/>
  <c r="C65" i="25"/>
  <c r="C64" i="25"/>
  <c r="C63" i="25"/>
  <c r="C62" i="25"/>
  <c r="C61" i="25"/>
  <c r="C60" i="25"/>
  <c r="C59" i="25"/>
  <c r="C58" i="25"/>
  <c r="C57" i="25"/>
  <c r="C56" i="25"/>
  <c r="C55" i="25"/>
  <c r="C5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J19" i="25" l="1"/>
  <c r="J18" i="25"/>
  <c r="J17" i="25"/>
  <c r="J16" i="25"/>
  <c r="J15" i="25"/>
  <c r="J14" i="25"/>
  <c r="J12" i="25"/>
  <c r="J11" i="25"/>
  <c r="J21" i="25"/>
  <c r="J20" i="25"/>
  <c r="J13" i="25"/>
  <c r="J77" i="25"/>
  <c r="J78" i="25"/>
  <c r="J79" i="25"/>
  <c r="J80" i="25"/>
  <c r="J81" i="25"/>
  <c r="J82" i="25"/>
  <c r="J83" i="25"/>
  <c r="J84" i="25"/>
  <c r="J85" i="25"/>
  <c r="J86" i="25"/>
  <c r="J55" i="25"/>
  <c r="J56" i="25"/>
  <c r="J57" i="25"/>
  <c r="J58" i="25"/>
  <c r="J59" i="25"/>
  <c r="J60" i="25"/>
  <c r="J61" i="25"/>
  <c r="J62" i="25"/>
  <c r="J63" i="25"/>
  <c r="J64" i="25"/>
  <c r="J35" i="25"/>
  <c r="J38" i="25"/>
  <c r="J41" i="25"/>
  <c r="J34" i="25"/>
  <c r="J37" i="25"/>
  <c r="J42" i="25"/>
  <c r="J33" i="25"/>
  <c r="J39" i="25"/>
  <c r="J36" i="25"/>
  <c r="J40" i="25"/>
  <c r="H2" i="19"/>
  <c r="E36" i="23"/>
  <c r="E35" i="23"/>
  <c r="E34" i="23"/>
  <c r="F5" i="19"/>
  <c r="F4" i="19"/>
  <c r="G2" i="19"/>
  <c r="C8" i="19" s="1"/>
  <c r="C24" i="23"/>
  <c r="L11" i="23" l="1"/>
  <c r="M11" i="23"/>
  <c r="L9" i="23"/>
  <c r="P1" i="20"/>
  <c r="E2" i="19"/>
  <c r="E4" i="19"/>
  <c r="E5" i="19"/>
  <c r="E3" i="19"/>
  <c r="C2" i="19"/>
  <c r="D2" i="19" s="1"/>
  <c r="M25" i="23" l="1"/>
  <c r="M19" i="23"/>
  <c r="M32" i="23" s="1"/>
  <c r="L12" i="23"/>
  <c r="P10" i="20"/>
  <c r="J10" i="20" s="1"/>
  <c r="J3" i="20"/>
  <c r="P12" i="20"/>
  <c r="J12" i="20" s="1"/>
  <c r="P11" i="20"/>
  <c r="J11" i="20" s="1"/>
  <c r="P8" i="20"/>
  <c r="J8" i="20" s="1"/>
  <c r="J5" i="20"/>
  <c r="J4" i="20"/>
  <c r="J7" i="20"/>
  <c r="J2" i="20"/>
  <c r="J6" i="20"/>
  <c r="P9" i="20"/>
  <c r="J9" i="20" s="1"/>
  <c r="G20" i="23"/>
  <c r="K26" i="25"/>
  <c r="C3" i="19"/>
  <c r="D3" i="19" s="1"/>
  <c r="C5" i="19"/>
  <c r="D5" i="19" s="1"/>
  <c r="C4" i="19"/>
  <c r="D4" i="19" s="1"/>
  <c r="H5" i="19"/>
  <c r="H4" i="19"/>
  <c r="H3" i="19"/>
  <c r="K29" i="25" l="1"/>
  <c r="K7" i="25" s="1"/>
  <c r="F17" i="25" s="1"/>
  <c r="K25" i="25"/>
  <c r="D18" i="25" s="1"/>
  <c r="K27" i="25"/>
  <c r="K5" i="25" s="1"/>
  <c r="F9" i="25" s="1"/>
  <c r="K28" i="25"/>
  <c r="K6" i="25" s="1"/>
  <c r="F10" i="25" s="1"/>
  <c r="L9" i="25"/>
  <c r="M9" i="25" s="1"/>
  <c r="M22" i="25" s="1"/>
  <c r="K4" i="25"/>
  <c r="L53" i="25"/>
  <c r="M53" i="25" s="1"/>
  <c r="K70" i="25"/>
  <c r="L75" i="25"/>
  <c r="M75" i="25" s="1"/>
  <c r="K48" i="25"/>
  <c r="L31" i="25"/>
  <c r="M31" i="25" s="1"/>
  <c r="G22" i="23"/>
  <c r="G23" i="23"/>
  <c r="G21" i="23"/>
  <c r="D36" i="25" l="1"/>
  <c r="D34" i="25"/>
  <c r="K51" i="25"/>
  <c r="F65" i="25" s="1"/>
  <c r="F43" i="25"/>
  <c r="K71" i="25"/>
  <c r="F76" i="25" s="1"/>
  <c r="F35" i="25"/>
  <c r="F32" i="25"/>
  <c r="K49" i="25"/>
  <c r="F54" i="25" s="1"/>
  <c r="F18" i="25"/>
  <c r="E18" i="25" s="1"/>
  <c r="L19" i="25" s="1"/>
  <c r="F42" i="25"/>
  <c r="K50" i="25"/>
  <c r="F59" i="25" s="1"/>
  <c r="F19" i="25"/>
  <c r="F33" i="25"/>
  <c r="F16" i="25"/>
  <c r="F13" i="25"/>
  <c r="F12" i="25"/>
  <c r="F14" i="25"/>
  <c r="F40" i="25"/>
  <c r="F15" i="25"/>
  <c r="F38" i="25"/>
  <c r="F20" i="25"/>
  <c r="F34" i="25"/>
  <c r="F11" i="25"/>
  <c r="F39" i="25"/>
  <c r="K73" i="25"/>
  <c r="F83" i="25" s="1"/>
  <c r="F41" i="25"/>
  <c r="F37" i="25"/>
  <c r="K72" i="25"/>
  <c r="F79" i="25" s="1"/>
  <c r="F36" i="25"/>
  <c r="K3" i="25"/>
  <c r="D33" i="25"/>
  <c r="K69" i="25"/>
  <c r="D42" i="25"/>
  <c r="D35" i="25"/>
  <c r="D43" i="25"/>
  <c r="D17" i="25"/>
  <c r="E17" i="25" s="1"/>
  <c r="D32" i="25"/>
  <c r="D9" i="25"/>
  <c r="E9" i="25" s="1"/>
  <c r="G9" i="25" s="1"/>
  <c r="D11" i="25"/>
  <c r="D37" i="25"/>
  <c r="D41" i="25"/>
  <c r="D16" i="25"/>
  <c r="K47" i="25"/>
  <c r="D59" i="25" s="1"/>
  <c r="D10" i="25"/>
  <c r="E10" i="25" s="1"/>
  <c r="D39" i="25"/>
  <c r="D40" i="25"/>
  <c r="D12" i="25"/>
  <c r="D38" i="25"/>
  <c r="D19" i="25"/>
  <c r="D20" i="25"/>
  <c r="D13" i="25"/>
  <c r="D15" i="25"/>
  <c r="D14" i="25"/>
  <c r="E33" i="25" l="1"/>
  <c r="G33" i="25" s="1"/>
  <c r="M33" i="25" s="1"/>
  <c r="E36" i="25"/>
  <c r="L36" i="25" s="1"/>
  <c r="E32" i="25"/>
  <c r="G32" i="25" s="1"/>
  <c r="M32" i="25" s="1"/>
  <c r="M44" i="25" s="1"/>
  <c r="E34" i="25"/>
  <c r="L34" i="25" s="1"/>
  <c r="E39" i="25"/>
  <c r="L39" i="25" s="1"/>
  <c r="E43" i="25"/>
  <c r="L43" i="25" s="1"/>
  <c r="E16" i="25"/>
  <c r="L17" i="25" s="1"/>
  <c r="E35" i="25"/>
  <c r="L35" i="25" s="1"/>
  <c r="F63" i="25"/>
  <c r="F61" i="25"/>
  <c r="F60" i="25"/>
  <c r="F62" i="25"/>
  <c r="F64" i="25"/>
  <c r="F85" i="25"/>
  <c r="E40" i="25"/>
  <c r="L40" i="25" s="1"/>
  <c r="F57" i="25"/>
  <c r="E19" i="25"/>
  <c r="L20" i="25" s="1"/>
  <c r="E20" i="25"/>
  <c r="L21" i="25" s="1"/>
  <c r="F55" i="25"/>
  <c r="F58" i="25"/>
  <c r="E42" i="25"/>
  <c r="L42" i="25" s="1"/>
  <c r="F80" i="25"/>
  <c r="F56" i="25"/>
  <c r="F78" i="25"/>
  <c r="F77" i="25"/>
  <c r="F84" i="25"/>
  <c r="E37" i="25"/>
  <c r="G37" i="25" s="1"/>
  <c r="M37" i="25" s="1"/>
  <c r="E12" i="25"/>
  <c r="L13" i="25" s="1"/>
  <c r="E14" i="25"/>
  <c r="G14" i="25" s="1"/>
  <c r="M15" i="25" s="1"/>
  <c r="E13" i="25"/>
  <c r="L14" i="25" s="1"/>
  <c r="D63" i="25"/>
  <c r="E41" i="25"/>
  <c r="L41" i="25" s="1"/>
  <c r="F87" i="25"/>
  <c r="E38" i="25"/>
  <c r="L38" i="25" s="1"/>
  <c r="E15" i="25"/>
  <c r="L16" i="25" s="1"/>
  <c r="E11" i="25"/>
  <c r="L12" i="25" s="1"/>
  <c r="F86" i="25"/>
  <c r="G18" i="25"/>
  <c r="M19" i="25" s="1"/>
  <c r="F82" i="25"/>
  <c r="F81" i="25"/>
  <c r="G10" i="25"/>
  <c r="M11" i="25" s="1"/>
  <c r="L11" i="25"/>
  <c r="L18" i="25"/>
  <c r="G17" i="25"/>
  <c r="M18" i="25" s="1"/>
  <c r="L10" i="25"/>
  <c r="M10" i="25"/>
  <c r="D78" i="25"/>
  <c r="D87" i="25"/>
  <c r="D82" i="25"/>
  <c r="D79" i="25"/>
  <c r="E79" i="25" s="1"/>
  <c r="D81" i="25"/>
  <c r="D86" i="25"/>
  <c r="D84" i="25"/>
  <c r="D80" i="25"/>
  <c r="D85" i="25"/>
  <c r="D83" i="25"/>
  <c r="E83" i="25" s="1"/>
  <c r="L83" i="25" s="1"/>
  <c r="D77" i="25"/>
  <c r="D76" i="25"/>
  <c r="E76" i="25" s="1"/>
  <c r="G76" i="25" s="1"/>
  <c r="M76" i="25" s="1"/>
  <c r="D60" i="25"/>
  <c r="D65" i="25"/>
  <c r="E65" i="25" s="1"/>
  <c r="L65" i="25" s="1"/>
  <c r="D56" i="25"/>
  <c r="D57" i="25"/>
  <c r="D55" i="25"/>
  <c r="D64" i="25"/>
  <c r="D62" i="25"/>
  <c r="D58" i="25"/>
  <c r="D54" i="25"/>
  <c r="E54" i="25" s="1"/>
  <c r="G54" i="25" s="1"/>
  <c r="M54" i="25" s="1"/>
  <c r="D61" i="25"/>
  <c r="E59" i="25"/>
  <c r="L59" i="25" s="1"/>
  <c r="L33" i="25" l="1"/>
  <c r="G16" i="25"/>
  <c r="M17" i="25" s="1"/>
  <c r="E62" i="25"/>
  <c r="L62" i="25" s="1"/>
  <c r="G34" i="25"/>
  <c r="M34" i="25" s="1"/>
  <c r="G39" i="25"/>
  <c r="M39" i="25" s="1"/>
  <c r="G35" i="25"/>
  <c r="M35" i="25" s="1"/>
  <c r="E55" i="25"/>
  <c r="L55" i="25" s="1"/>
  <c r="L32" i="25"/>
  <c r="E84" i="25"/>
  <c r="L84" i="25" s="1"/>
  <c r="E61" i="25"/>
  <c r="L61" i="25" s="1"/>
  <c r="E60" i="25"/>
  <c r="L60" i="25" s="1"/>
  <c r="G36" i="25"/>
  <c r="M36" i="25" s="1"/>
  <c r="G19" i="25"/>
  <c r="M20" i="25" s="1"/>
  <c r="E64" i="25"/>
  <c r="L64" i="25" s="1"/>
  <c r="G43" i="25"/>
  <c r="M43" i="25" s="1"/>
  <c r="E85" i="25"/>
  <c r="L85" i="25" s="1"/>
  <c r="G13" i="25"/>
  <c r="M14" i="25" s="1"/>
  <c r="E57" i="25"/>
  <c r="G57" i="25" s="1"/>
  <c r="M57" i="25" s="1"/>
  <c r="E78" i="25"/>
  <c r="L78" i="25" s="1"/>
  <c r="E80" i="25"/>
  <c r="L80" i="25" s="1"/>
  <c r="E63" i="25"/>
  <c r="L63" i="25" s="1"/>
  <c r="G40" i="25"/>
  <c r="M40" i="25" s="1"/>
  <c r="G38" i="25"/>
  <c r="M38" i="25" s="1"/>
  <c r="G20" i="25"/>
  <c r="M21" i="25" s="1"/>
  <c r="E56" i="25"/>
  <c r="G56" i="25" s="1"/>
  <c r="M56" i="25" s="1"/>
  <c r="L37" i="25"/>
  <c r="E86" i="25"/>
  <c r="L86" i="25" s="1"/>
  <c r="E58" i="25"/>
  <c r="G58" i="25" s="1"/>
  <c r="M58" i="25" s="1"/>
  <c r="L15" i="25"/>
  <c r="G42" i="25"/>
  <c r="M42" i="25" s="1"/>
  <c r="G12" i="25"/>
  <c r="M13" i="25" s="1"/>
  <c r="E77" i="25"/>
  <c r="G77" i="25" s="1"/>
  <c r="M77" i="25" s="1"/>
  <c r="L76" i="25"/>
  <c r="L54" i="25"/>
  <c r="G41" i="25"/>
  <c r="M41" i="25" s="1"/>
  <c r="E87" i="25"/>
  <c r="L87" i="25" s="1"/>
  <c r="G15" i="25"/>
  <c r="M16" i="25" s="1"/>
  <c r="G83" i="25"/>
  <c r="M83" i="25" s="1"/>
  <c r="G11" i="25"/>
  <c r="M12" i="25" s="1"/>
  <c r="E81" i="25"/>
  <c r="L81" i="25" s="1"/>
  <c r="E82" i="25"/>
  <c r="L82" i="25" s="1"/>
  <c r="L79" i="25"/>
  <c r="G79" i="25"/>
  <c r="M79" i="25" s="1"/>
  <c r="G59" i="25"/>
  <c r="M59" i="25" s="1"/>
  <c r="G65" i="25"/>
  <c r="M65" i="25" s="1"/>
  <c r="G64" i="25" l="1"/>
  <c r="M64" i="25" s="1"/>
  <c r="G62" i="25"/>
  <c r="M62" i="25" s="1"/>
  <c r="G60" i="25"/>
  <c r="M60" i="25" s="1"/>
  <c r="G85" i="25"/>
  <c r="M85" i="25" s="1"/>
  <c r="G55" i="25"/>
  <c r="M55" i="25" s="1"/>
  <c r="M66" i="25" s="1"/>
  <c r="G61" i="25"/>
  <c r="M61" i="25" s="1"/>
  <c r="G84" i="25"/>
  <c r="M84" i="25" s="1"/>
  <c r="G80" i="25"/>
  <c r="M80" i="25" s="1"/>
  <c r="L57" i="25"/>
  <c r="G63" i="25"/>
  <c r="M63" i="25" s="1"/>
  <c r="G78" i="25"/>
  <c r="M78" i="25" s="1"/>
  <c r="L58" i="25"/>
  <c r="L56" i="25"/>
  <c r="L77" i="25"/>
  <c r="G86" i="25"/>
  <c r="M86" i="25" s="1"/>
  <c r="G82" i="25"/>
  <c r="M82" i="25" s="1"/>
  <c r="M88" i="25" s="1"/>
  <c r="G87" i="25"/>
  <c r="M87" i="25" s="1"/>
  <c r="G81" i="25"/>
  <c r="M81" i="25" s="1"/>
  <c r="M91" i="25" l="1"/>
  <c r="C25" i="23" s="1"/>
  <c r="M9" i="23" l="1"/>
  <c r="M12" i="23" s="1"/>
  <c r="M13" i="23" s="1"/>
  <c r="M33" i="23" l="1"/>
  <c r="M34" i="23" s="1"/>
</calcChain>
</file>

<file path=xl/sharedStrings.xml><?xml version="1.0" encoding="utf-8"?>
<sst xmlns="http://schemas.openxmlformats.org/spreadsheetml/2006/main" count="196" uniqueCount="117">
  <si>
    <t>TED</t>
  </si>
  <si>
    <t>CPFL Paulista</t>
  </si>
  <si>
    <t>SERVIÇOS FINANCEIROS</t>
  </si>
  <si>
    <t>Saque Banco 24Horas</t>
  </si>
  <si>
    <t>Débito</t>
  </si>
  <si>
    <t>Comercio varejista de produtos medicos, ortopedicos, cosmeticos, perfumaria, otica, odontologia, tecidos, animais vivos, loja departamento, peças veiculos e motos</t>
  </si>
  <si>
    <t xml:space="preserve">Comercio varejista de material de construção, eletrico, etc </t>
  </si>
  <si>
    <t>-</t>
  </si>
  <si>
    <t>Comercio varejista de vestuário, acessórios, calçados, roupas íntimas, etc</t>
  </si>
  <si>
    <t>Comércio varejista de protese dentaria, odontologica, etc</t>
  </si>
  <si>
    <t>Crédito à Vista</t>
  </si>
  <si>
    <t>Prazo Médio</t>
  </si>
  <si>
    <t>Taxa Antecipação</t>
  </si>
  <si>
    <t>Taxa Total</t>
  </si>
  <si>
    <t>Taxa Crédito</t>
  </si>
  <si>
    <t>Taxas Totais</t>
  </si>
  <si>
    <t>2 x</t>
  </si>
  <si>
    <t>3 x</t>
  </si>
  <si>
    <t>4 x</t>
  </si>
  <si>
    <t>5 x</t>
  </si>
  <si>
    <t>6 x</t>
  </si>
  <si>
    <t>7 x</t>
  </si>
  <si>
    <t>8 x</t>
  </si>
  <si>
    <t>9 x</t>
  </si>
  <si>
    <t>10 x</t>
  </si>
  <si>
    <t>11 x</t>
  </si>
  <si>
    <t>12 x</t>
  </si>
  <si>
    <t>Sim</t>
  </si>
  <si>
    <t>Taxas</t>
  </si>
  <si>
    <t>Tipo de Estabelecimento</t>
  </si>
  <si>
    <t xml:space="preserve">Clínicas estéticas e similares, tratamento beleza, etc </t>
  </si>
  <si>
    <t>Visa/Master</t>
  </si>
  <si>
    <t>Não</t>
  </si>
  <si>
    <t>Elo</t>
  </si>
  <si>
    <t>Hipercard</t>
  </si>
  <si>
    <t>Crédito Parcelado 2 x 6</t>
  </si>
  <si>
    <t>Crédito Parcelado 7 x 12</t>
  </si>
  <si>
    <t>Tipo de Plano</t>
  </si>
  <si>
    <t>Básico</t>
  </si>
  <si>
    <t>Volume em R$</t>
  </si>
  <si>
    <t>Qtd Parcelas (Média)</t>
  </si>
  <si>
    <t>Bandeira mais utilizada na Maquininha</t>
  </si>
  <si>
    <t>TPV Mensal</t>
  </si>
  <si>
    <t>Valor Unitário</t>
  </si>
  <si>
    <t>Boleto Recarga</t>
  </si>
  <si>
    <t>Boleto Cobrança Liquidado</t>
  </si>
  <si>
    <t>Plano Antecipado?</t>
  </si>
  <si>
    <t>Economia %</t>
  </si>
  <si>
    <t>Taxa de Antecipação</t>
  </si>
  <si>
    <t>Valor Líquido Estimado</t>
  </si>
  <si>
    <t>Mini Mercado e Supermercado</t>
  </si>
  <si>
    <t>Padaria</t>
  </si>
  <si>
    <t>Bar e Restaurante</t>
  </si>
  <si>
    <t>Hotel</t>
  </si>
  <si>
    <t>Cepisa</t>
  </si>
  <si>
    <t>Enel CE</t>
  </si>
  <si>
    <t>Enel SP</t>
  </si>
  <si>
    <t>EDP</t>
  </si>
  <si>
    <t>Enel RJ</t>
  </si>
  <si>
    <t>CEB</t>
  </si>
  <si>
    <t>RGE</t>
  </si>
  <si>
    <t>Cemig</t>
  </si>
  <si>
    <t>Light</t>
  </si>
  <si>
    <t>Até 30 mil</t>
  </si>
  <si>
    <t>Até 50 mil</t>
  </si>
  <si>
    <t>Até 75 mil</t>
  </si>
  <si>
    <t>Acima de 75 mil</t>
  </si>
  <si>
    <t>Total</t>
  </si>
  <si>
    <t>Receita</t>
  </si>
  <si>
    <t>Ecoa</t>
  </si>
  <si>
    <t>Taxa de Generosidade</t>
  </si>
  <si>
    <t>Nova Conta de Luz</t>
  </si>
  <si>
    <t>Cartão de Crédito</t>
  </si>
  <si>
    <t>Qtd. / Volume Utilizado</t>
  </si>
  <si>
    <t>Valor Médio Mensal Conta de Luz</t>
  </si>
  <si>
    <t>Resultado</t>
  </si>
  <si>
    <t>Valor Transacional</t>
  </si>
  <si>
    <t>Produtos</t>
  </si>
  <si>
    <t>Outros Serviços</t>
  </si>
  <si>
    <t>Quantidade de Pontos Ecoa</t>
  </si>
  <si>
    <t>Taxa Generosidade</t>
  </si>
  <si>
    <t>Simulador &gt;&gt;</t>
  </si>
  <si>
    <t>Resgate dos Pontos Ecoa</t>
  </si>
  <si>
    <t>Impacto Ambiental (kg de Carbono)</t>
  </si>
  <si>
    <t>Impacto Social (Energia)</t>
  </si>
  <si>
    <t>VISÃO DO CLIENTE</t>
  </si>
  <si>
    <t>Meta de Sustentabilidade Mensal (kg Carbono)</t>
  </si>
  <si>
    <t>Resultado de Sustentabilidade (kg Carbono)</t>
  </si>
  <si>
    <t>% Atingimento da Meta de Sustentabilidade</t>
  </si>
  <si>
    <t>Inputs &gt;&gt;</t>
  </si>
  <si>
    <t>Serviço</t>
  </si>
  <si>
    <t>Custo</t>
  </si>
  <si>
    <t>Valor Pontos Ecoa</t>
  </si>
  <si>
    <t>kg Carbono por Ponto</t>
  </si>
  <si>
    <t>Créditos de Energia por Ponto</t>
  </si>
  <si>
    <t>Dias por Período</t>
  </si>
  <si>
    <t>Valor Líquido</t>
  </si>
  <si>
    <t>Antecipação</t>
  </si>
  <si>
    <t>Crédito 2-6x</t>
  </si>
  <si>
    <t>Crédito 7-12x</t>
  </si>
  <si>
    <t>Valor da Venda</t>
  </si>
  <si>
    <t>Adquirência (Antecipação)</t>
  </si>
  <si>
    <t>Valor Cobrado Cliente</t>
  </si>
  <si>
    <t>Modalidade</t>
  </si>
  <si>
    <t>Valor Parcela Cliente</t>
  </si>
  <si>
    <t>Crédito à vista</t>
  </si>
  <si>
    <t>MDR + Antecipação</t>
  </si>
  <si>
    <t>Bandeira</t>
  </si>
  <si>
    <t>Estabelecimento</t>
  </si>
  <si>
    <t>generosidade adiq</t>
  </si>
  <si>
    <t>Simulador Economia Circular Verde - Ecoa</t>
  </si>
  <si>
    <t>RESUMO SERVIÇOS BANCÁRIOS</t>
  </si>
  <si>
    <t>MAQUININHA BANCO</t>
  </si>
  <si>
    <t>Maquininha Banco</t>
  </si>
  <si>
    <t>MÉTRICAS DE IMPACTO E LOYALTY</t>
  </si>
  <si>
    <t>OUTROS SERVIÇOS - BANCO</t>
  </si>
  <si>
    <t xml:space="preserve">Resultado Total/Valor Transacional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</si>
</sst>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0.0%"/>
    <numFmt numFmtId="169" formatCode="_-[$R$-416]\ * #,##0.00_-;\-[$R$-416]\ * #,##0.00_-;_-[$R$-416]\ * &quot;-&quot;??_-;_-@_-"/>
    <numFmt numFmtId="170" formatCode="_-&quot;R$&quot;* #,##0_-;\-&quot;R$&quot;* #,##0_-;_-&quot;R$&quot;* &quot;-&quot;??_-;_-@_-"/>
    <numFmt numFmtId="171" formatCode="[$R$-416]\ #,##0;[Red][$R$-416]\ #,##0"/>
    <numFmt numFmtId="172" formatCode="[$R$-416]\ #,##0.00;[Red][$R$-416]\ #,##0.00"/>
    <numFmt numFmtId="173" formatCode="_(&quot;R$&quot;* #,##0.00_);_(&quot;R$&quot;* \(#,##0.00\);_(&quot;R$&quot;* &quot;-&quot;??_);_(@_)"/>
    <numFmt numFmtId="174" formatCode="_-&quot;R$&quot;* #,##0.0_-;\-&quot;R$&quot;* #,##0.0_-;_-&quot;R$&quot;* &quot;-&quot;??_-;_-@_-"/>
    <numFmt numFmtId="175" formatCode="&quot;p/&quot;\ #,##0\ &quot;clientes&quot;;[Red]\-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i/>
      <sz val="11"/>
      <color rgb="FF002060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b/>
      <i/>
      <sz val="8.5"/>
      <color rgb="FF002060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8"/>
      <color rgb="FF002060"/>
      <name val="Calibri"/>
      <family val="2"/>
      <scheme val="minor"/>
    </font>
    <font>
      <b/>
      <i/>
      <sz val="10"/>
      <color rgb="FF002060"/>
      <name val="Calibri"/>
      <family val="2"/>
      <scheme val="minor"/>
    </font>
    <font>
      <sz val="12"/>
      <color theme="1"/>
      <name val="Montserrat"/>
    </font>
    <font>
      <b/>
      <u/>
      <sz val="12"/>
      <color theme="1"/>
      <name val="Montserrat"/>
    </font>
    <font>
      <b/>
      <sz val="14"/>
      <color theme="0"/>
      <name val="Montserrat"/>
    </font>
    <font>
      <b/>
      <sz val="14"/>
      <color theme="1"/>
      <name val="Montserrat"/>
    </font>
    <font>
      <sz val="11"/>
      <color theme="1"/>
      <name val="Montserrat"/>
    </font>
  </fonts>
  <fills count="1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3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2" fillId="0" borderId="0"/>
    <xf numFmtId="17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195">
    <xf numFmtId="0" fontId="0" fillId="0" borderId="0" xfId="0"/>
    <xf numFmtId="169" fontId="0" fillId="3" borderId="3" xfId="0" applyNumberFormat="1" applyFill="1" applyBorder="1"/>
    <xf numFmtId="169" fontId="0" fillId="3" borderId="5" xfId="0" applyNumberFormat="1" applyFill="1" applyBorder="1"/>
    <xf numFmtId="169" fontId="4" fillId="4" borderId="4" xfId="0" applyNumberFormat="1" applyFont="1" applyFill="1" applyBorder="1" applyAlignment="1">
      <alignment horizontal="right"/>
    </xf>
    <xf numFmtId="9" fontId="0" fillId="0" borderId="0" xfId="2" applyFont="1" applyFill="1"/>
    <xf numFmtId="0" fontId="3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7" fontId="7" fillId="0" borderId="0" xfId="1" applyNumberFormat="1" applyFont="1" applyFill="1" applyAlignment="1">
      <alignment vertical="center"/>
    </xf>
    <xf numFmtId="9" fontId="7" fillId="0" borderId="0" xfId="2" applyFont="1" applyFill="1" applyAlignment="1">
      <alignment vertical="center"/>
    </xf>
    <xf numFmtId="168" fontId="7" fillId="0" borderId="0" xfId="2" applyNumberFormat="1" applyFont="1" applyFill="1" applyAlignment="1">
      <alignment vertical="center"/>
    </xf>
    <xf numFmtId="168" fontId="8" fillId="0" borderId="0" xfId="2" applyNumberFormat="1" applyFont="1" applyFill="1" applyAlignment="1">
      <alignment vertical="center"/>
    </xf>
    <xf numFmtId="10" fontId="3" fillId="6" borderId="16" xfId="2" applyNumberFormat="1" applyFont="1" applyFill="1" applyBorder="1" applyAlignment="1">
      <alignment horizontal="center" vertical="center" wrapText="1"/>
    </xf>
    <xf numFmtId="10" fontId="0" fillId="0" borderId="16" xfId="2" applyNumberFormat="1" applyFont="1" applyBorder="1"/>
    <xf numFmtId="10" fontId="0" fillId="5" borderId="16" xfId="0" applyNumberFormat="1" applyFill="1" applyBorder="1"/>
    <xf numFmtId="10" fontId="3" fillId="6" borderId="18" xfId="2" applyNumberFormat="1" applyFont="1" applyFill="1" applyBorder="1" applyAlignment="1">
      <alignment horizontal="center" vertical="center" wrapText="1"/>
    </xf>
    <xf numFmtId="0" fontId="11" fillId="10" borderId="16" xfId="0" applyFont="1" applyFill="1" applyBorder="1" applyAlignment="1">
      <alignment horizontal="center" vertical="center" wrapText="1"/>
    </xf>
    <xf numFmtId="9" fontId="0" fillId="0" borderId="0" xfId="0" applyNumberFormat="1"/>
    <xf numFmtId="0" fontId="5" fillId="5" borderId="16" xfId="5" applyNumberFormat="1" applyFont="1" applyFill="1" applyBorder="1" applyAlignment="1" applyProtection="1">
      <alignment horizontal="center" vertical="center"/>
    </xf>
    <xf numFmtId="0" fontId="5" fillId="0" borderId="16" xfId="5" applyNumberFormat="1" applyFont="1" applyFill="1" applyBorder="1" applyAlignment="1" applyProtection="1">
      <alignment horizontal="center" vertical="center"/>
    </xf>
    <xf numFmtId="0" fontId="5" fillId="5" borderId="16" xfId="0" applyFont="1" applyFill="1" applyBorder="1" applyAlignment="1">
      <alignment horizontal="left" vertical="center"/>
    </xf>
    <xf numFmtId="10" fontId="3" fillId="10" borderId="16" xfId="2" applyNumberFormat="1" applyFont="1" applyFill="1" applyBorder="1" applyAlignment="1" applyProtection="1">
      <alignment horizontal="center" vertical="center"/>
    </xf>
    <xf numFmtId="0" fontId="3" fillId="11" borderId="0" xfId="0" applyFont="1" applyFill="1" applyAlignment="1" applyProtection="1">
      <alignment vertical="center"/>
      <protection locked="0"/>
    </xf>
    <xf numFmtId="10" fontId="0" fillId="0" borderId="0" xfId="0" applyNumberFormat="1"/>
    <xf numFmtId="10" fontId="0" fillId="0" borderId="0" xfId="0" applyNumberFormat="1" applyAlignment="1">
      <alignment vertical="center"/>
    </xf>
    <xf numFmtId="0" fontId="11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8" fontId="0" fillId="0" borderId="0" xfId="2" applyNumberFormat="1" applyFont="1" applyAlignment="1">
      <alignment horizontal="center" vertical="center"/>
    </xf>
    <xf numFmtId="10" fontId="3" fillId="10" borderId="16" xfId="2" applyNumberFormat="1" applyFont="1" applyFill="1" applyBorder="1"/>
    <xf numFmtId="0" fontId="7" fillId="12" borderId="0" xfId="0" applyFont="1" applyFill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72" fontId="7" fillId="0" borderId="4" xfId="0" applyNumberFormat="1" applyFont="1" applyBorder="1" applyAlignment="1">
      <alignment vertical="center"/>
    </xf>
    <xf numFmtId="172" fontId="7" fillId="0" borderId="7" xfId="0" applyNumberFormat="1" applyFont="1" applyBorder="1" applyAlignment="1">
      <alignment vertical="center"/>
    </xf>
    <xf numFmtId="0" fontId="8" fillId="3" borderId="17" xfId="0" applyFont="1" applyFill="1" applyBorder="1" applyAlignment="1" applyProtection="1">
      <alignment horizontal="center" vertical="center"/>
      <protection locked="0"/>
    </xf>
    <xf numFmtId="0" fontId="8" fillId="3" borderId="24" xfId="0" applyFont="1" applyFill="1" applyBorder="1" applyAlignment="1" applyProtection="1">
      <alignment horizontal="center" vertical="center"/>
      <protection locked="0"/>
    </xf>
    <xf numFmtId="172" fontId="7" fillId="0" borderId="0" xfId="0" applyNumberFormat="1" applyFont="1" applyAlignment="1">
      <alignment vertical="center"/>
    </xf>
    <xf numFmtId="164" fontId="8" fillId="3" borderId="13" xfId="0" applyNumberFormat="1" applyFont="1" applyFill="1" applyBorder="1" applyAlignment="1" applyProtection="1">
      <alignment horizontal="right" vertical="center"/>
      <protection locked="0"/>
    </xf>
    <xf numFmtId="169" fontId="4" fillId="4" borderId="7" xfId="0" applyNumberFormat="1" applyFont="1" applyFill="1" applyBorder="1" applyAlignment="1">
      <alignment horizontal="right"/>
    </xf>
    <xf numFmtId="0" fontId="8" fillId="3" borderId="11" xfId="0" applyFont="1" applyFill="1" applyBorder="1" applyAlignment="1" applyProtection="1">
      <alignment horizontal="center" vertical="center"/>
      <protection locked="0"/>
    </xf>
    <xf numFmtId="167" fontId="0" fillId="0" borderId="0" xfId="1" applyNumberFormat="1" applyFont="1"/>
    <xf numFmtId="0" fontId="16" fillId="0" borderId="0" xfId="0" applyFont="1" applyAlignment="1">
      <alignment vertical="center"/>
    </xf>
    <xf numFmtId="10" fontId="0" fillId="0" borderId="0" xfId="2" applyNumberFormat="1" applyFont="1"/>
    <xf numFmtId="10" fontId="8" fillId="3" borderId="25" xfId="2" applyNumberFormat="1" applyFont="1" applyFill="1" applyBorder="1" applyAlignment="1" applyProtection="1">
      <alignment horizontal="right" vertical="center"/>
      <protection locked="0"/>
    </xf>
    <xf numFmtId="10" fontId="8" fillId="3" borderId="11" xfId="2" applyNumberFormat="1" applyFont="1" applyFill="1" applyBorder="1" applyAlignment="1" applyProtection="1">
      <alignment horizontal="right" vertical="center"/>
      <protection locked="0"/>
    </xf>
    <xf numFmtId="44" fontId="7" fillId="0" borderId="0" xfId="0" applyNumberFormat="1" applyFont="1" applyAlignment="1">
      <alignment vertical="center"/>
    </xf>
    <xf numFmtId="164" fontId="8" fillId="3" borderId="17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vertical="center"/>
    </xf>
    <xf numFmtId="44" fontId="8" fillId="3" borderId="17" xfId="10" applyFont="1" applyFill="1" applyBorder="1" applyAlignment="1" applyProtection="1">
      <alignment horizontal="center" vertical="center"/>
      <protection locked="0"/>
    </xf>
    <xf numFmtId="0" fontId="7" fillId="0" borderId="20" xfId="0" applyFont="1" applyBorder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2" applyNumberFormat="1" applyFont="1" applyFill="1" applyBorder="1" applyAlignment="1">
      <alignment horizontal="right" vertical="center"/>
    </xf>
    <xf numFmtId="171" fontId="7" fillId="0" borderId="0" xfId="0" applyNumberFormat="1" applyFont="1" applyAlignment="1">
      <alignment vertical="center" wrapText="1"/>
    </xf>
    <xf numFmtId="164" fontId="8" fillId="0" borderId="0" xfId="2" applyNumberFormat="1" applyFont="1" applyFill="1" applyBorder="1" applyAlignment="1">
      <alignment vertical="center"/>
    </xf>
    <xf numFmtId="171" fontId="7" fillId="0" borderId="1" xfId="0" applyNumberFormat="1" applyFont="1" applyBorder="1" applyAlignment="1">
      <alignment vertical="center" wrapText="1"/>
    </xf>
    <xf numFmtId="171" fontId="7" fillId="0" borderId="29" xfId="0" applyNumberFormat="1" applyFont="1" applyBorder="1" applyAlignment="1">
      <alignment vertical="center" wrapText="1"/>
    </xf>
    <xf numFmtId="171" fontId="7" fillId="0" borderId="3" xfId="0" applyNumberFormat="1" applyFont="1" applyBorder="1" applyAlignment="1">
      <alignment vertical="center" wrapText="1"/>
    </xf>
    <xf numFmtId="171" fontId="7" fillId="0" borderId="5" xfId="0" applyNumberFormat="1" applyFont="1" applyBorder="1" applyAlignment="1">
      <alignment vertical="center"/>
    </xf>
    <xf numFmtId="171" fontId="7" fillId="0" borderId="6" xfId="0" applyNumberFormat="1" applyFont="1" applyBorder="1" applyAlignment="1">
      <alignment vertical="center"/>
    </xf>
    <xf numFmtId="0" fontId="19" fillId="0" borderId="0" xfId="0" applyFont="1" applyAlignment="1">
      <alignment horizontal="center" vertical="center" wrapText="1"/>
    </xf>
    <xf numFmtId="3" fontId="19" fillId="0" borderId="0" xfId="0" applyNumberFormat="1" applyFont="1" applyAlignment="1">
      <alignment horizontal="center" vertical="center" wrapText="1"/>
    </xf>
    <xf numFmtId="0" fontId="7" fillId="14" borderId="0" xfId="0" applyFont="1" applyFill="1" applyAlignment="1">
      <alignment vertical="center"/>
    </xf>
    <xf numFmtId="0" fontId="13" fillId="13" borderId="11" xfId="0" applyFont="1" applyFill="1" applyBorder="1" applyAlignment="1">
      <alignment horizontal="center" vertical="center" wrapText="1"/>
    </xf>
    <xf numFmtId="0" fontId="10" fillId="13" borderId="10" xfId="0" applyFont="1" applyFill="1" applyBorder="1" applyAlignment="1">
      <alignment horizontal="center" vertical="center" wrapText="1"/>
    </xf>
    <xf numFmtId="10" fontId="8" fillId="13" borderId="25" xfId="2" applyNumberFormat="1" applyFont="1" applyFill="1" applyBorder="1" applyAlignment="1">
      <alignment horizontal="center" vertical="center"/>
    </xf>
    <xf numFmtId="10" fontId="8" fillId="13" borderId="26" xfId="2" applyNumberFormat="1" applyFont="1" applyFill="1" applyBorder="1" applyAlignment="1">
      <alignment horizontal="center" vertical="center"/>
    </xf>
    <xf numFmtId="0" fontId="7" fillId="13" borderId="22" xfId="0" applyFont="1" applyFill="1" applyBorder="1" applyAlignment="1">
      <alignment vertical="center"/>
    </xf>
    <xf numFmtId="164" fontId="8" fillId="13" borderId="17" xfId="0" applyNumberFormat="1" applyFont="1" applyFill="1" applyBorder="1" applyAlignment="1">
      <alignment horizontal="center" vertical="center"/>
    </xf>
    <xf numFmtId="0" fontId="7" fillId="13" borderId="23" xfId="0" applyFont="1" applyFill="1" applyBorder="1" applyAlignment="1">
      <alignment vertical="center"/>
    </xf>
    <xf numFmtId="164" fontId="8" fillId="13" borderId="24" xfId="0" applyNumberFormat="1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 wrapText="1"/>
    </xf>
    <xf numFmtId="174" fontId="8" fillId="13" borderId="25" xfId="0" applyNumberFormat="1" applyFont="1" applyFill="1" applyBorder="1" applyAlignment="1">
      <alignment horizontal="center" vertical="center"/>
    </xf>
    <xf numFmtId="174" fontId="8" fillId="13" borderId="25" xfId="0" applyNumberFormat="1" applyFont="1" applyFill="1" applyBorder="1" applyAlignment="1">
      <alignment vertical="center"/>
    </xf>
    <xf numFmtId="174" fontId="8" fillId="13" borderId="26" xfId="0" applyNumberFormat="1" applyFont="1" applyFill="1" applyBorder="1" applyAlignment="1">
      <alignment vertical="center"/>
    </xf>
    <xf numFmtId="0" fontId="8" fillId="13" borderId="5" xfId="0" applyFont="1" applyFill="1" applyBorder="1" applyAlignment="1">
      <alignment vertical="center"/>
    </xf>
    <xf numFmtId="0" fontId="8" fillId="13" borderId="6" xfId="0" applyFont="1" applyFill="1" applyBorder="1" applyAlignment="1">
      <alignment vertical="center"/>
    </xf>
    <xf numFmtId="9" fontId="8" fillId="13" borderId="7" xfId="2" applyFont="1" applyFill="1" applyBorder="1" applyAlignment="1">
      <alignment horizontal="right" vertical="center"/>
    </xf>
    <xf numFmtId="170" fontId="8" fillId="13" borderId="13" xfId="0" applyNumberFormat="1" applyFont="1" applyFill="1" applyBorder="1" applyAlignment="1" applyProtection="1">
      <alignment horizontal="right" vertical="center"/>
      <protection locked="0"/>
    </xf>
    <xf numFmtId="0" fontId="8" fillId="13" borderId="12" xfId="0" applyFont="1" applyFill="1" applyBorder="1" applyAlignment="1">
      <alignment horizontal="center" vertical="center" wrapText="1"/>
    </xf>
    <xf numFmtId="0" fontId="8" fillId="13" borderId="14" xfId="0" applyFont="1" applyFill="1" applyBorder="1" applyAlignment="1">
      <alignment horizontal="center" vertical="center" wrapText="1"/>
    </xf>
    <xf numFmtId="3" fontId="8" fillId="13" borderId="13" xfId="0" applyNumberFormat="1" applyFont="1" applyFill="1" applyBorder="1" applyAlignment="1">
      <alignment horizontal="center" vertical="center" wrapText="1"/>
    </xf>
    <xf numFmtId="9" fontId="8" fillId="13" borderId="13" xfId="2" applyFont="1" applyFill="1" applyBorder="1" applyAlignment="1">
      <alignment horizontal="center" vertical="center" wrapText="1"/>
    </xf>
    <xf numFmtId="0" fontId="8" fillId="0" borderId="16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44" fontId="8" fillId="3" borderId="21" xfId="10" applyFont="1" applyFill="1" applyBorder="1" applyAlignment="1" applyProtection="1">
      <alignment horizontal="center" vertical="center"/>
      <protection locked="0"/>
    </xf>
    <xf numFmtId="0" fontId="8" fillId="0" borderId="22" xfId="0" applyFont="1" applyBorder="1" applyAlignment="1">
      <alignment vertical="center"/>
    </xf>
    <xf numFmtId="44" fontId="8" fillId="13" borderId="17" xfId="10" applyFont="1" applyFill="1" applyBorder="1" applyAlignment="1" applyProtection="1">
      <alignment horizontal="center" vertical="center"/>
      <protection locked="0"/>
    </xf>
    <xf numFmtId="164" fontId="8" fillId="13" borderId="28" xfId="0" applyNumberFormat="1" applyFont="1" applyFill="1" applyBorder="1" applyAlignment="1" applyProtection="1">
      <alignment horizontal="center" vertical="center"/>
      <protection locked="0"/>
    </xf>
    <xf numFmtId="164" fontId="8" fillId="13" borderId="16" xfId="0" applyNumberFormat="1" applyFont="1" applyFill="1" applyBorder="1" applyAlignment="1" applyProtection="1">
      <alignment horizontal="center" vertical="center"/>
      <protection locked="0"/>
    </xf>
    <xf numFmtId="3" fontId="7" fillId="13" borderId="2" xfId="2" applyNumberFormat="1" applyFont="1" applyFill="1" applyBorder="1" applyAlignment="1">
      <alignment vertical="center"/>
    </xf>
    <xf numFmtId="2" fontId="7" fillId="13" borderId="4" xfId="2" applyNumberFormat="1" applyFont="1" applyFill="1" applyBorder="1" applyAlignment="1">
      <alignment vertical="center"/>
    </xf>
    <xf numFmtId="44" fontId="7" fillId="13" borderId="7" xfId="10" applyFont="1" applyFill="1" applyBorder="1" applyAlignment="1">
      <alignment vertical="center"/>
    </xf>
    <xf numFmtId="175" fontId="8" fillId="3" borderId="14" xfId="0" applyNumberFormat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169" fontId="4" fillId="4" borderId="0" xfId="0" applyNumberFormat="1" applyFont="1" applyFill="1" applyAlignment="1">
      <alignment horizontal="right"/>
    </xf>
    <xf numFmtId="169" fontId="4" fillId="4" borderId="6" xfId="0" applyNumberFormat="1" applyFont="1" applyFill="1" applyBorder="1" applyAlignment="1">
      <alignment horizontal="right"/>
    </xf>
    <xf numFmtId="9" fontId="4" fillId="4" borderId="0" xfId="2" applyFont="1" applyFill="1" applyBorder="1" applyAlignment="1">
      <alignment horizontal="center"/>
    </xf>
    <xf numFmtId="9" fontId="4" fillId="4" borderId="4" xfId="2" applyFont="1" applyFill="1" applyBorder="1" applyAlignment="1">
      <alignment horizontal="center"/>
    </xf>
    <xf numFmtId="165" fontId="2" fillId="2" borderId="1" xfId="3" applyFont="1" applyFill="1" applyBorder="1" applyAlignment="1">
      <alignment horizontal="center" vertical="center"/>
    </xf>
    <xf numFmtId="165" fontId="2" fillId="2" borderId="29" xfId="3" applyFont="1" applyFill="1" applyBorder="1" applyAlignment="1">
      <alignment horizontal="center" vertical="center"/>
    </xf>
    <xf numFmtId="165" fontId="2" fillId="2" borderId="2" xfId="3" applyFont="1" applyFill="1" applyBorder="1" applyAlignment="1">
      <alignment horizontal="center" vertical="center"/>
    </xf>
    <xf numFmtId="3" fontId="8" fillId="3" borderId="13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5" borderId="0" xfId="6" applyFont="1" applyFill="1"/>
    <xf numFmtId="0" fontId="20" fillId="0" borderId="0" xfId="6" applyFont="1"/>
    <xf numFmtId="0" fontId="21" fillId="0" borderId="0" xfId="6" applyFont="1"/>
    <xf numFmtId="0" fontId="22" fillId="7" borderId="15" xfId="6" applyFont="1" applyFill="1" applyBorder="1" applyAlignment="1">
      <alignment horizontal="center"/>
    </xf>
    <xf numFmtId="0" fontId="22" fillId="7" borderId="0" xfId="6" applyFont="1" applyFill="1" applyAlignment="1">
      <alignment horizontal="center"/>
    </xf>
    <xf numFmtId="0" fontId="22" fillId="7" borderId="19" xfId="6" applyFont="1" applyFill="1" applyBorder="1" applyAlignment="1">
      <alignment horizontal="center"/>
    </xf>
    <xf numFmtId="173" fontId="23" fillId="9" borderId="0" xfId="7" applyFont="1" applyFill="1"/>
    <xf numFmtId="0" fontId="20" fillId="9" borderId="0" xfId="6" applyFont="1" applyFill="1" applyAlignment="1">
      <alignment horizontal="center"/>
    </xf>
    <xf numFmtId="10" fontId="24" fillId="9" borderId="0" xfId="8" applyNumberFormat="1" applyFont="1" applyFill="1"/>
    <xf numFmtId="173" fontId="24" fillId="9" borderId="0" xfId="7" applyFont="1" applyFill="1"/>
    <xf numFmtId="0" fontId="20" fillId="0" borderId="3" xfId="6" applyFont="1" applyBorder="1"/>
    <xf numFmtId="10" fontId="24" fillId="0" borderId="0" xfId="8" applyNumberFormat="1" applyFont="1" applyBorder="1"/>
    <xf numFmtId="10" fontId="20" fillId="0" borderId="0" xfId="6" applyNumberFormat="1" applyFont="1"/>
    <xf numFmtId="173" fontId="24" fillId="0" borderId="4" xfId="7" applyFont="1" applyBorder="1"/>
    <xf numFmtId="173" fontId="24" fillId="8" borderId="0" xfId="7" applyFont="1" applyFill="1"/>
    <xf numFmtId="0" fontId="20" fillId="8" borderId="0" xfId="6" applyFont="1" applyFill="1" applyAlignment="1">
      <alignment horizontal="center"/>
    </xf>
    <xf numFmtId="10" fontId="24" fillId="8" borderId="0" xfId="8" applyNumberFormat="1" applyFont="1" applyFill="1"/>
    <xf numFmtId="0" fontId="20" fillId="0" borderId="5" xfId="6" applyFont="1" applyBorder="1"/>
    <xf numFmtId="0" fontId="20" fillId="0" borderId="6" xfId="6" applyFont="1" applyBorder="1"/>
    <xf numFmtId="10" fontId="24" fillId="0" borderId="6" xfId="8" applyNumberFormat="1" applyFont="1" applyBorder="1"/>
    <xf numFmtId="10" fontId="20" fillId="0" borderId="6" xfId="6" applyNumberFormat="1" applyFont="1" applyBorder="1"/>
    <xf numFmtId="173" fontId="24" fillId="0" borderId="7" xfId="7" applyFont="1" applyBorder="1"/>
    <xf numFmtId="10" fontId="24" fillId="0" borderId="0" xfId="8" applyNumberFormat="1" applyFont="1"/>
    <xf numFmtId="173" fontId="24" fillId="0" borderId="0" xfId="7" applyFont="1"/>
    <xf numFmtId="166" fontId="20" fillId="5" borderId="0" xfId="1" applyFont="1" applyFill="1"/>
    <xf numFmtId="43" fontId="20" fillId="5" borderId="0" xfId="6" applyNumberFormat="1" applyFont="1" applyFill="1"/>
    <xf numFmtId="0" fontId="20" fillId="0" borderId="29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2" fillId="7" borderId="31" xfId="0" applyFont="1" applyFill="1" applyBorder="1" applyAlignment="1">
      <alignment horizontal="center"/>
    </xf>
    <xf numFmtId="0" fontId="22" fillId="7" borderId="3" xfId="0" applyFont="1" applyFill="1" applyBorder="1" applyAlignment="1">
      <alignment horizontal="center"/>
    </xf>
    <xf numFmtId="0" fontId="22" fillId="7" borderId="15" xfId="6" applyFont="1" applyFill="1" applyBorder="1" applyAlignment="1">
      <alignment horizontal="center" vertical="center" wrapText="1"/>
    </xf>
    <xf numFmtId="0" fontId="22" fillId="7" borderId="36" xfId="6" applyFont="1" applyFill="1" applyBorder="1" applyAlignment="1">
      <alignment horizontal="center" vertical="center" wrapText="1"/>
    </xf>
    <xf numFmtId="0" fontId="22" fillId="7" borderId="37" xfId="6" applyFont="1" applyFill="1" applyBorder="1" applyAlignment="1">
      <alignment horizontal="center" vertical="center" wrapText="1"/>
    </xf>
    <xf numFmtId="173" fontId="23" fillId="9" borderId="3" xfId="7" applyFont="1" applyFill="1" applyBorder="1"/>
    <xf numFmtId="10" fontId="24" fillId="9" borderId="0" xfId="8" applyNumberFormat="1" applyFont="1" applyFill="1" applyBorder="1"/>
    <xf numFmtId="173" fontId="24" fillId="9" borderId="4" xfId="7" applyFont="1" applyFill="1" applyBorder="1"/>
    <xf numFmtId="173" fontId="24" fillId="8" borderId="3" xfId="7" applyFont="1" applyFill="1" applyBorder="1"/>
    <xf numFmtId="10" fontId="24" fillId="8" borderId="0" xfId="8" applyNumberFormat="1" applyFont="1" applyFill="1" applyBorder="1"/>
    <xf numFmtId="173" fontId="24" fillId="8" borderId="4" xfId="7" applyFont="1" applyFill="1" applyBorder="1"/>
    <xf numFmtId="173" fontId="24" fillId="9" borderId="3" xfId="7" applyFont="1" applyFill="1" applyBorder="1"/>
    <xf numFmtId="173" fontId="24" fillId="9" borderId="5" xfId="7" applyFont="1" applyFill="1" applyBorder="1"/>
    <xf numFmtId="0" fontId="20" fillId="9" borderId="6" xfId="6" applyFont="1" applyFill="1" applyBorder="1" applyAlignment="1">
      <alignment horizontal="center"/>
    </xf>
    <xf numFmtId="10" fontId="24" fillId="9" borderId="6" xfId="8" applyNumberFormat="1" applyFont="1" applyFill="1" applyBorder="1"/>
    <xf numFmtId="173" fontId="24" fillId="9" borderId="7" xfId="7" applyFont="1" applyFill="1" applyBorder="1"/>
    <xf numFmtId="169" fontId="0" fillId="3" borderId="1" xfId="0" applyNumberFormat="1" applyFill="1" applyBorder="1"/>
    <xf numFmtId="169" fontId="4" fillId="4" borderId="2" xfId="0" applyNumberFormat="1" applyFont="1" applyFill="1" applyBorder="1" applyAlignment="1">
      <alignment horizontal="right"/>
    </xf>
    <xf numFmtId="2" fontId="4" fillId="4" borderId="4" xfId="0" applyNumberFormat="1" applyFont="1" applyFill="1" applyBorder="1" applyAlignment="1">
      <alignment horizontal="right"/>
    </xf>
    <xf numFmtId="2" fontId="4" fillId="4" borderId="7" xfId="0" applyNumberFormat="1" applyFont="1" applyFill="1" applyBorder="1" applyAlignment="1">
      <alignment horizontal="right"/>
    </xf>
    <xf numFmtId="166" fontId="7" fillId="0" borderId="0" xfId="1" applyFont="1" applyAlignment="1">
      <alignment vertical="center"/>
    </xf>
    <xf numFmtId="169" fontId="0" fillId="3" borderId="0" xfId="0" applyNumberFormat="1" applyFill="1"/>
    <xf numFmtId="0" fontId="18" fillId="13" borderId="38" xfId="0" applyFont="1" applyFill="1" applyBorder="1" applyAlignment="1">
      <alignment horizontal="center" vertical="center" wrapText="1"/>
    </xf>
    <xf numFmtId="10" fontId="8" fillId="3" borderId="25" xfId="2" applyNumberFormat="1" applyFont="1" applyFill="1" applyBorder="1" applyAlignment="1">
      <alignment horizontal="center" vertical="center" wrapText="1"/>
    </xf>
    <xf numFmtId="10" fontId="8" fillId="3" borderId="26" xfId="2" applyNumberFormat="1" applyFont="1" applyFill="1" applyBorder="1" applyAlignment="1">
      <alignment horizontal="center" vertical="center" wrapText="1"/>
    </xf>
    <xf numFmtId="164" fontId="11" fillId="15" borderId="21" xfId="0" applyNumberFormat="1" applyFont="1" applyFill="1" applyBorder="1" applyAlignment="1" applyProtection="1">
      <alignment horizontal="center" vertical="center"/>
      <protection locked="0"/>
    </xf>
    <xf numFmtId="164" fontId="11" fillId="15" borderId="17" xfId="0" applyNumberFormat="1" applyFont="1" applyFill="1" applyBorder="1" applyAlignment="1" applyProtection="1">
      <alignment horizontal="center" vertical="center"/>
      <protection locked="0"/>
    </xf>
    <xf numFmtId="9" fontId="11" fillId="15" borderId="24" xfId="2" applyFont="1" applyFill="1" applyBorder="1" applyAlignment="1">
      <alignment horizontal="right" vertical="center"/>
    </xf>
    <xf numFmtId="164" fontId="8" fillId="13" borderId="16" xfId="2" applyNumberFormat="1" applyFont="1" applyFill="1" applyBorder="1" applyAlignment="1">
      <alignment horizontal="right" vertical="center"/>
    </xf>
    <xf numFmtId="0" fontId="8" fillId="13" borderId="22" xfId="0" applyFont="1" applyFill="1" applyBorder="1" applyAlignment="1">
      <alignment vertical="center"/>
    </xf>
    <xf numFmtId="164" fontId="11" fillId="15" borderId="17" xfId="2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44" fontId="14" fillId="14" borderId="12" xfId="10" applyFont="1" applyFill="1" applyBorder="1" applyAlignment="1">
      <alignment horizontal="center" vertical="center"/>
    </xf>
    <xf numFmtId="44" fontId="14" fillId="14" borderId="14" xfId="10" applyFont="1" applyFill="1" applyBorder="1" applyAlignment="1">
      <alignment horizontal="center" vertical="center"/>
    </xf>
    <xf numFmtId="44" fontId="14" fillId="14" borderId="13" xfId="10" applyFont="1" applyFill="1" applyBorder="1" applyAlignment="1">
      <alignment horizontal="center" vertical="center"/>
    </xf>
    <xf numFmtId="0" fontId="14" fillId="14" borderId="12" xfId="0" applyFont="1" applyFill="1" applyBorder="1" applyAlignment="1">
      <alignment horizontal="center" vertical="center"/>
    </xf>
    <xf numFmtId="0" fontId="14" fillId="14" borderId="14" xfId="0" applyFont="1" applyFill="1" applyBorder="1" applyAlignment="1">
      <alignment horizontal="center" vertical="center"/>
    </xf>
    <xf numFmtId="0" fontId="14" fillId="14" borderId="13" xfId="0" applyFont="1" applyFill="1" applyBorder="1" applyAlignment="1">
      <alignment horizontal="center" vertical="center"/>
    </xf>
    <xf numFmtId="0" fontId="10" fillId="13" borderId="8" xfId="0" applyFont="1" applyFill="1" applyBorder="1" applyAlignment="1">
      <alignment horizontal="right" vertical="center" wrapText="1"/>
    </xf>
    <xf numFmtId="0" fontId="10" fillId="13" borderId="9" xfId="0" applyFont="1" applyFill="1" applyBorder="1" applyAlignment="1">
      <alignment horizontal="right" vertical="center" wrapText="1"/>
    </xf>
    <xf numFmtId="0" fontId="10" fillId="13" borderId="8" xfId="0" applyFont="1" applyFill="1" applyBorder="1" applyAlignment="1">
      <alignment horizontal="right" vertical="center"/>
    </xf>
    <xf numFmtId="0" fontId="10" fillId="13" borderId="9" xfId="0" applyFont="1" applyFill="1" applyBorder="1" applyAlignment="1">
      <alignment horizontal="right" vertical="center"/>
    </xf>
    <xf numFmtId="164" fontId="8" fillId="3" borderId="12" xfId="0" applyNumberFormat="1" applyFont="1" applyFill="1" applyBorder="1" applyAlignment="1" applyProtection="1">
      <alignment horizontal="left" vertical="center"/>
      <protection locked="0"/>
    </xf>
    <xf numFmtId="164" fontId="8" fillId="3" borderId="14" xfId="0" applyNumberFormat="1" applyFont="1" applyFill="1" applyBorder="1" applyAlignment="1" applyProtection="1">
      <alignment horizontal="left" vertical="center"/>
      <protection locked="0"/>
    </xf>
    <xf numFmtId="164" fontId="8" fillId="3" borderId="13" xfId="0" applyNumberFormat="1" applyFont="1" applyFill="1" applyBorder="1" applyAlignment="1" applyProtection="1">
      <alignment horizontal="left" vertical="center"/>
      <protection locked="0"/>
    </xf>
    <xf numFmtId="0" fontId="8" fillId="13" borderId="23" xfId="0" applyFont="1" applyFill="1" applyBorder="1" applyAlignment="1">
      <alignment horizontal="left" vertical="center"/>
    </xf>
    <xf numFmtId="0" fontId="8" fillId="13" borderId="30" xfId="0" applyFont="1" applyFill="1" applyBorder="1" applyAlignment="1">
      <alignment horizontal="left" vertical="center"/>
    </xf>
    <xf numFmtId="10" fontId="23" fillId="8" borderId="19" xfId="7" applyNumberFormat="1" applyFont="1" applyFill="1" applyBorder="1" applyAlignment="1" applyProtection="1">
      <alignment horizontal="center"/>
      <protection locked="0"/>
    </xf>
    <xf numFmtId="10" fontId="23" fillId="8" borderId="35" xfId="7" applyNumberFormat="1" applyFont="1" applyFill="1" applyBorder="1" applyAlignment="1" applyProtection="1">
      <alignment horizontal="center"/>
      <protection locked="0"/>
    </xf>
    <xf numFmtId="0" fontId="22" fillId="7" borderId="32" xfId="6" applyFont="1" applyFill="1" applyBorder="1" applyAlignment="1">
      <alignment horizontal="center" vertical="center"/>
    </xf>
    <xf numFmtId="0" fontId="22" fillId="7" borderId="33" xfId="6" applyFont="1" applyFill="1" applyBorder="1" applyAlignment="1">
      <alignment horizontal="center" vertical="center"/>
    </xf>
    <xf numFmtId="0" fontId="22" fillId="7" borderId="34" xfId="6" applyFont="1" applyFill="1" applyBorder="1" applyAlignment="1">
      <alignment horizontal="center" vertical="center"/>
    </xf>
    <xf numFmtId="10" fontId="23" fillId="9" borderId="19" xfId="7" applyNumberFormat="1" applyFont="1" applyFill="1" applyBorder="1" applyAlignment="1" applyProtection="1">
      <alignment horizontal="center"/>
      <protection locked="0"/>
    </xf>
    <xf numFmtId="10" fontId="23" fillId="9" borderId="35" xfId="7" applyNumberFormat="1" applyFont="1" applyFill="1" applyBorder="1" applyAlignment="1" applyProtection="1">
      <alignment horizontal="center"/>
      <protection locked="0"/>
    </xf>
    <xf numFmtId="0" fontId="22" fillId="7" borderId="19" xfId="6" applyFont="1" applyFill="1" applyBorder="1" applyAlignment="1">
      <alignment horizontal="center" vertical="center"/>
    </xf>
  </cellXfs>
  <cellStyles count="13">
    <cellStyle name="Comma 2" xfId="12" xr:uid="{07D2E259-478D-49DB-A699-C7610B6F7C3F}"/>
    <cellStyle name="Currency 2" xfId="3" xr:uid="{00000000-0005-0000-0000-000000000000}"/>
    <cellStyle name="Moeda" xfId="10" builtinId="4"/>
    <cellStyle name="Moeda 2" xfId="7" xr:uid="{4B660DDA-1EE3-4AAD-8C17-40D8225E73FA}"/>
    <cellStyle name="Moeda 3" xfId="9" xr:uid="{1A7F7299-875F-4F06-B314-753D36DDC3E7}"/>
    <cellStyle name="Normal" xfId="0" builtinId="0"/>
    <cellStyle name="Normal 2" xfId="6" xr:uid="{60BE2E4E-8406-4D96-8AC8-8767A49F2BB7}"/>
    <cellStyle name="Normal 4" xfId="4" xr:uid="{1D2351AC-FB8D-4F6E-929A-C2A1D2AA9018}"/>
    <cellStyle name="Porcentagem" xfId="2" builtinId="5"/>
    <cellStyle name="Porcentagem 2" xfId="8" xr:uid="{2C4E5C46-E1B5-4F65-86AD-517727B84BF0}"/>
    <cellStyle name="Vírgula" xfId="1" builtinId="3"/>
    <cellStyle name="Vírgula 2" xfId="5" xr:uid="{72D50949-A7A4-4A0B-AF9E-822DFD2424E4}"/>
    <cellStyle name="Vírgula 2 2" xfId="11" xr:uid="{1AD17F4A-C70E-449E-99CF-7D89ACA23E69}"/>
  </cellStyles>
  <dxfs count="0"/>
  <tableStyles count="0" defaultTableStyle="TableStyleMedium2" defaultPivotStyle="PivotStyleLight16"/>
  <colors>
    <mruColors>
      <color rgb="FFFFD54F"/>
      <color rgb="FFFFFF5B"/>
      <color rgb="FFFF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1151659</xdr:colOff>
      <xdr:row>1</xdr:row>
      <xdr:rowOff>129885</xdr:rowOff>
    </xdr:from>
    <xdr:to>
      <xdr:col>12</xdr:col>
      <xdr:colOff>1264227</xdr:colOff>
      <xdr:row>5</xdr:row>
      <xdr:rowOff>34635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67294E4-57B5-EB53-C940-BDBD34BD7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5273" y="242453"/>
          <a:ext cx="1541318" cy="926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2CCB1-87E3-45A4-9C37-9B1372011D0B}">
  <sheetPr>
    <tabColor theme="9" tint="0.39997558519241921"/>
  </sheetPr>
  <dimension ref="A9:L15"/>
  <sheetViews>
    <sheetView showGridLines="0" workbookViewId="0">
      <selection activeCell="A16" sqref="A16"/>
    </sheetView>
  </sheetViews>
  <sheetFormatPr baseColWidth="10" defaultColWidth="8.83203125" defaultRowHeight="15" x14ac:dyDescent="0.2"/>
  <sheetData>
    <row r="9" spans="1:12" x14ac:dyDescent="0.2">
      <c r="A9" s="171" t="s">
        <v>81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</row>
    <row r="10" spans="1:12" x14ac:dyDescent="0.2">
      <c r="A10" s="171"/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</row>
    <row r="11" spans="1:12" x14ac:dyDescent="0.2">
      <c r="A11" s="171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</row>
    <row r="12" spans="1:12" x14ac:dyDescent="0.2">
      <c r="A12" s="171"/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</row>
    <row r="13" spans="1:12" x14ac:dyDescent="0.2">
      <c r="A13" s="171"/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</row>
    <row r="14" spans="1:12" x14ac:dyDescent="0.2">
      <c r="A14" s="171"/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1"/>
    </row>
    <row r="15" spans="1:12" x14ac:dyDescent="0.2">
      <c r="A15" s="171"/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</row>
  </sheetData>
  <mergeCells count="1">
    <mergeCell ref="A9:L1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23902-6824-42D7-99A5-0AE248E74104}">
  <sheetPr>
    <pageSetUpPr fitToPage="1"/>
  </sheetPr>
  <dimension ref="A1:AT58"/>
  <sheetViews>
    <sheetView showGridLines="0" tabSelected="1" zoomScaleNormal="100" workbookViewId="0">
      <selection activeCell="P22" sqref="P22"/>
    </sheetView>
  </sheetViews>
  <sheetFormatPr baseColWidth="10" defaultColWidth="10.6640625" defaultRowHeight="0" customHeight="1" zeroHeight="1" x14ac:dyDescent="0.2"/>
  <cols>
    <col min="1" max="1" width="1.33203125" style="7" customWidth="1"/>
    <col min="2" max="2" width="34.5" style="7" customWidth="1"/>
    <col min="3" max="3" width="13.6640625" style="7" customWidth="1"/>
    <col min="4" max="4" width="1.33203125" style="7" customWidth="1"/>
    <col min="5" max="5" width="10.33203125" style="7" customWidth="1"/>
    <col min="6" max="6" width="1.33203125" style="7" customWidth="1"/>
    <col min="7" max="7" width="10.83203125" style="7" customWidth="1"/>
    <col min="8" max="8" width="1.33203125" style="7" customWidth="1"/>
    <col min="9" max="9" width="10.5" style="7" customWidth="1"/>
    <col min="10" max="10" width="3.5" style="7" customWidth="1"/>
    <col min="11" max="11" width="45.33203125" style="7" customWidth="1"/>
    <col min="12" max="12" width="21.5" style="7" customWidth="1"/>
    <col min="13" max="13" width="20.6640625" style="7" customWidth="1"/>
    <col min="14" max="14" width="1.33203125" style="7" customWidth="1"/>
    <col min="15" max="16" width="10.6640625" style="7" customWidth="1"/>
    <col min="17" max="17" width="15" style="7" customWidth="1"/>
    <col min="18" max="18" width="10.6640625" style="7" customWidth="1"/>
    <col min="19" max="16382" width="10.6640625" style="7"/>
    <col min="16383" max="16383" width="2.83203125" style="7" customWidth="1"/>
    <col min="16384" max="16384" width="5" style="7" customWidth="1"/>
  </cols>
  <sheetData>
    <row r="1" spans="1:17" ht="9.5" customHeight="1" x14ac:dyDescent="0.2"/>
    <row r="2" spans="1:17" ht="14.5" customHeight="1" x14ac:dyDescent="0.2"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7" ht="23.25" customHeight="1" x14ac:dyDescent="0.2"/>
    <row r="4" spans="1:17" ht="24" x14ac:dyDescent="0.2">
      <c r="B4" s="6" t="s">
        <v>110</v>
      </c>
      <c r="K4"/>
    </row>
    <row r="5" spans="1:17" ht="19.5" customHeight="1" thickBot="1" x14ac:dyDescent="0.25"/>
    <row r="6" spans="1:17" ht="22.25" customHeight="1" thickBot="1" x14ac:dyDescent="0.25">
      <c r="B6" s="175" t="s">
        <v>2</v>
      </c>
      <c r="C6" s="176"/>
      <c r="D6" s="176"/>
      <c r="E6" s="176"/>
      <c r="F6" s="176"/>
      <c r="G6" s="176"/>
      <c r="H6" s="176"/>
      <c r="I6" s="177"/>
      <c r="K6" s="172" t="s">
        <v>111</v>
      </c>
      <c r="L6" s="173"/>
      <c r="M6" s="174"/>
    </row>
    <row r="7" spans="1:17" ht="14" customHeight="1" x14ac:dyDescent="0.2">
      <c r="D7" s="8"/>
      <c r="E7" s="8"/>
      <c r="G7" s="8"/>
      <c r="K7" s="8"/>
      <c r="L7" s="8"/>
      <c r="M7" s="8"/>
    </row>
    <row r="8" spans="1:17" ht="27" customHeight="1" thickBot="1" x14ac:dyDescent="0.25">
      <c r="B8" s="49" t="s">
        <v>29</v>
      </c>
      <c r="C8" s="49"/>
      <c r="D8" s="49"/>
      <c r="E8" s="49"/>
      <c r="F8" s="49"/>
      <c r="G8" s="49"/>
      <c r="K8" s="55" t="s">
        <v>77</v>
      </c>
      <c r="L8" s="55" t="s">
        <v>76</v>
      </c>
      <c r="M8" s="55" t="s">
        <v>75</v>
      </c>
    </row>
    <row r="9" spans="1:17" ht="23.5" customHeight="1" thickBot="1" x14ac:dyDescent="0.25">
      <c r="B9" s="182" t="s">
        <v>8</v>
      </c>
      <c r="C9" s="183"/>
      <c r="D9" s="183"/>
      <c r="E9" s="183"/>
      <c r="F9" s="183"/>
      <c r="G9" s="183"/>
      <c r="H9" s="183"/>
      <c r="I9" s="184"/>
      <c r="K9" s="57" t="s">
        <v>113</v>
      </c>
      <c r="L9" s="95">
        <f>C24</f>
        <v>26000</v>
      </c>
      <c r="M9" s="165">
        <f>C24-C25</f>
        <v>3204.0892666666696</v>
      </c>
    </row>
    <row r="10" spans="1:17" ht="23.5" customHeight="1" thickBot="1" x14ac:dyDescent="0.25">
      <c r="K10" s="36" t="s">
        <v>72</v>
      </c>
      <c r="L10" s="96">
        <f>C32</f>
        <v>5000</v>
      </c>
      <c r="M10" s="166">
        <f>L10*'Outros Serviços'!C3</f>
        <v>150</v>
      </c>
    </row>
    <row r="11" spans="1:17" ht="23.5" customHeight="1" thickBot="1" x14ac:dyDescent="0.25">
      <c r="B11" s="175" t="s">
        <v>112</v>
      </c>
      <c r="C11" s="176"/>
      <c r="D11" s="176"/>
      <c r="E11" s="176"/>
      <c r="F11" s="176"/>
      <c r="G11" s="176"/>
      <c r="H11" s="176"/>
      <c r="I11" s="177"/>
      <c r="K11" s="36" t="s">
        <v>78</v>
      </c>
      <c r="L11" s="96">
        <f>(C33*E33)+(C34*E34)+(C35*E35)+(C36*E36)</f>
        <v>80.8</v>
      </c>
      <c r="M11" s="166">
        <f>((C33*E33)+(C34*E34)+(C35*E35)+(C36*E36))-((C33*'Outros Serviços'!D4)+(C34*'Outros Serviços'!D5)+(C35*'Outros Serviços'!D6)+(C36*'Outros Serviços'!D7))</f>
        <v>56.56</v>
      </c>
    </row>
    <row r="12" spans="1:17" ht="23.5" customHeight="1" thickBot="1" x14ac:dyDescent="0.25">
      <c r="K12" s="169" t="s">
        <v>67</v>
      </c>
      <c r="L12" s="168">
        <f>SUM(L9:L11)</f>
        <v>31080.799999999999</v>
      </c>
      <c r="M12" s="170">
        <f>SUM(M9:M11)</f>
        <v>3410.6492666666695</v>
      </c>
    </row>
    <row r="13" spans="1:17" ht="23.5" customHeight="1" thickBot="1" x14ac:dyDescent="0.25">
      <c r="B13" s="35" t="s">
        <v>37</v>
      </c>
      <c r="C13" s="45" t="s">
        <v>69</v>
      </c>
      <c r="K13" s="185" t="s">
        <v>116</v>
      </c>
      <c r="L13" s="186"/>
      <c r="M13" s="167">
        <f>M12/L12</f>
        <v>0.10973492531294785</v>
      </c>
    </row>
    <row r="14" spans="1:17" ht="23.5" customHeight="1" thickBot="1" x14ac:dyDescent="0.25">
      <c r="K14" s="58"/>
      <c r="L14" s="59"/>
      <c r="M14" s="59"/>
      <c r="P14" s="53"/>
    </row>
    <row r="15" spans="1:17" ht="23.5" customHeight="1" thickBot="1" x14ac:dyDescent="0.25">
      <c r="A15" s="10"/>
      <c r="B15" s="35" t="s">
        <v>46</v>
      </c>
      <c r="C15" s="85" t="str">
        <f>IF(C13="Ecoa","Sim","Não")</f>
        <v>Sim</v>
      </c>
      <c r="K15" s="175" t="s">
        <v>114</v>
      </c>
      <c r="L15" s="176"/>
      <c r="M15" s="177"/>
      <c r="Q15" s="160"/>
    </row>
    <row r="16" spans="1:17" ht="25.5" customHeight="1" thickBot="1" x14ac:dyDescent="0.25">
      <c r="A16" s="11"/>
      <c r="Q16" s="53"/>
    </row>
    <row r="17" spans="1:13" ht="27" customHeight="1" thickBot="1" x14ac:dyDescent="0.25">
      <c r="A17" s="11"/>
      <c r="B17" s="35" t="s">
        <v>41</v>
      </c>
      <c r="C17" s="45" t="s">
        <v>31</v>
      </c>
      <c r="K17" s="62" t="s">
        <v>79</v>
      </c>
      <c r="L17" s="63"/>
      <c r="M17" s="97">
        <f>ROUND(((I20*C20)+(I21*C21)+(C22*I22)+(C23*I23)+(C32*G32)+(C33*E33*G33)+(C34*E34*G34)+(C35*E35*G35)+(C36*E36*G36))/'Pontos Ecoa'!C2,0)</f>
        <v>16444</v>
      </c>
    </row>
    <row r="18" spans="1:13" ht="26.5" customHeight="1" thickBot="1" x14ac:dyDescent="0.25">
      <c r="A18" s="11"/>
      <c r="K18" s="64" t="s">
        <v>83</v>
      </c>
      <c r="L18" s="60"/>
      <c r="M18" s="98">
        <f>M17*'Pontos Ecoa'!C3</f>
        <v>493.32</v>
      </c>
    </row>
    <row r="19" spans="1:13" ht="24.75" customHeight="1" thickBot="1" x14ac:dyDescent="0.25">
      <c r="A19" s="12"/>
      <c r="B19" s="178" t="s">
        <v>39</v>
      </c>
      <c r="C19" s="179"/>
      <c r="D19" s="9"/>
      <c r="E19" s="70" t="s">
        <v>40</v>
      </c>
      <c r="G19" s="71" t="s">
        <v>28</v>
      </c>
      <c r="I19" s="162" t="s">
        <v>80</v>
      </c>
      <c r="K19" s="65" t="s">
        <v>84</v>
      </c>
      <c r="L19" s="66"/>
      <c r="M19" s="99">
        <f>M17*'Pontos Ecoa'!C4</f>
        <v>328.88</v>
      </c>
    </row>
    <row r="20" spans="1:13" ht="22.25" customHeight="1" thickBot="1" x14ac:dyDescent="0.25">
      <c r="A20" s="13"/>
      <c r="B20" s="36" t="s">
        <v>4</v>
      </c>
      <c r="C20" s="54">
        <v>0</v>
      </c>
      <c r="G20" s="72">
        <f>IF($C$17="Hipercard","-",'Taxa Adquirência'!D2)</f>
        <v>1.01566E-2</v>
      </c>
      <c r="I20" s="163">
        <v>0</v>
      </c>
      <c r="K20" s="60"/>
      <c r="L20" s="60"/>
      <c r="M20" s="61"/>
    </row>
    <row r="21" spans="1:13" ht="22.25" customHeight="1" thickBot="1" x14ac:dyDescent="0.25">
      <c r="A21" s="12"/>
      <c r="B21" s="36" t="s">
        <v>10</v>
      </c>
      <c r="C21" s="54">
        <v>1000</v>
      </c>
      <c r="G21" s="72">
        <f>'Taxa Adquirência'!D3</f>
        <v>1.6858599999999998E-2</v>
      </c>
      <c r="I21" s="163">
        <f>'Pontos Ecoa'!C7</f>
        <v>5.0000000000000001E-3</v>
      </c>
      <c r="K21" s="101" t="s">
        <v>86</v>
      </c>
      <c r="L21" s="102"/>
      <c r="M21" s="110">
        <v>100000</v>
      </c>
    </row>
    <row r="22" spans="1:13" ht="22.25" customHeight="1" thickBot="1" x14ac:dyDescent="0.25">
      <c r="A22" s="11"/>
      <c r="B22" s="36" t="s">
        <v>35</v>
      </c>
      <c r="C22" s="54">
        <v>5000</v>
      </c>
      <c r="E22" s="47">
        <v>2</v>
      </c>
      <c r="G22" s="72">
        <f>'Taxa Adquirência'!D4</f>
        <v>2.0049999999999998E-2</v>
      </c>
      <c r="I22" s="163">
        <f>VLOOKUP(E22,'Pontos Ecoa'!B7:C18,2,0)</f>
        <v>7.4999999999999997E-3</v>
      </c>
      <c r="K22" s="60"/>
      <c r="L22" s="60"/>
      <c r="M22" s="61"/>
    </row>
    <row r="23" spans="1:13" ht="22.25" customHeight="1" thickBot="1" x14ac:dyDescent="0.25">
      <c r="A23" s="11"/>
      <c r="B23" s="36" t="s">
        <v>36</v>
      </c>
      <c r="C23" s="54">
        <v>20000</v>
      </c>
      <c r="E23" s="47">
        <v>7</v>
      </c>
      <c r="G23" s="73">
        <f>'Taxa Adquirência'!D5</f>
        <v>2.3337200000000002E-2</v>
      </c>
      <c r="I23" s="164">
        <f>VLOOKUP(E23,'Pontos Ecoa'!B7:C18,2,0)</f>
        <v>0.02</v>
      </c>
      <c r="K23" s="101" t="s">
        <v>87</v>
      </c>
      <c r="L23" s="100">
        <v>200</v>
      </c>
      <c r="M23" s="88">
        <f>M18*$L$23</f>
        <v>98664</v>
      </c>
    </row>
    <row r="24" spans="1:13" ht="22.25" customHeight="1" thickBot="1" x14ac:dyDescent="0.25">
      <c r="B24" s="74" t="s">
        <v>42</v>
      </c>
      <c r="C24" s="75">
        <f>SUM(C20:C23)</f>
        <v>26000</v>
      </c>
    </row>
    <row r="25" spans="1:13" ht="22.25" customHeight="1" thickBot="1" x14ac:dyDescent="0.25">
      <c r="B25" s="76" t="s">
        <v>49</v>
      </c>
      <c r="C25" s="77">
        <f>Antecipação!M91</f>
        <v>22795.91073333333</v>
      </c>
      <c r="K25" s="86" t="s">
        <v>88</v>
      </c>
      <c r="L25" s="87"/>
      <c r="M25" s="89">
        <f>M23/M21</f>
        <v>0.98663999999999996</v>
      </c>
    </row>
    <row r="26" spans="1:13" ht="22.25" customHeight="1" thickBot="1" x14ac:dyDescent="0.25">
      <c r="A26" s="11"/>
    </row>
    <row r="27" spans="1:13" ht="22.25" customHeight="1" thickBot="1" x14ac:dyDescent="0.25">
      <c r="A27" s="10"/>
      <c r="B27" s="34" t="s">
        <v>48</v>
      </c>
      <c r="C27" s="52">
        <v>2.9899999999999999E-2</v>
      </c>
      <c r="K27" s="67"/>
      <c r="L27" s="67"/>
      <c r="M27" s="68"/>
    </row>
    <row r="28" spans="1:13" ht="22.25" customHeight="1" thickBot="1" x14ac:dyDescent="0.25">
      <c r="A28" s="10"/>
    </row>
    <row r="29" spans="1:13" ht="22.25" customHeight="1" thickBot="1" x14ac:dyDescent="0.25">
      <c r="A29" s="14"/>
      <c r="B29" s="175" t="s">
        <v>115</v>
      </c>
      <c r="C29" s="176"/>
      <c r="D29" s="176"/>
      <c r="E29" s="176"/>
      <c r="F29" s="176"/>
      <c r="G29" s="176"/>
      <c r="H29" s="176"/>
      <c r="I29" s="177"/>
      <c r="K29" s="175" t="s">
        <v>85</v>
      </c>
      <c r="L29" s="176"/>
      <c r="M29" s="177"/>
    </row>
    <row r="30" spans="1:13" ht="22.25" customHeight="1" thickBot="1" x14ac:dyDescent="0.25">
      <c r="A30" s="15"/>
      <c r="L30" s="53"/>
    </row>
    <row r="31" spans="1:13" ht="23.25" customHeight="1" x14ac:dyDescent="0.2">
      <c r="B31" s="180" t="s">
        <v>73</v>
      </c>
      <c r="C31" s="181"/>
      <c r="D31" s="9"/>
      <c r="E31" s="78" t="s">
        <v>43</v>
      </c>
      <c r="G31" s="78" t="s">
        <v>70</v>
      </c>
      <c r="K31" s="57" t="s">
        <v>74</v>
      </c>
      <c r="L31" s="91"/>
      <c r="M31" s="92">
        <v>1000</v>
      </c>
    </row>
    <row r="32" spans="1:13" ht="22.25" customHeight="1" x14ac:dyDescent="0.2">
      <c r="B32" s="36" t="s">
        <v>72</v>
      </c>
      <c r="C32" s="56">
        <v>5000</v>
      </c>
      <c r="E32" s="79" t="s">
        <v>7</v>
      </c>
      <c r="G32" s="51">
        <v>0.01</v>
      </c>
      <c r="K32" s="93" t="s">
        <v>82</v>
      </c>
      <c r="L32" s="90"/>
      <c r="M32" s="94">
        <f>-M19</f>
        <v>-328.88</v>
      </c>
    </row>
    <row r="33" spans="1:46" ht="22.25" customHeight="1" x14ac:dyDescent="0.2">
      <c r="B33" s="36" t="s">
        <v>44</v>
      </c>
      <c r="C33" s="42">
        <v>10</v>
      </c>
      <c r="E33" s="80">
        <f>'Outros Serviços'!C5</f>
        <v>3</v>
      </c>
      <c r="G33" s="51">
        <v>0.01</v>
      </c>
      <c r="K33" s="93" t="s">
        <v>71</v>
      </c>
      <c r="L33" s="90"/>
      <c r="M33" s="94">
        <f>M31+M32</f>
        <v>671.12</v>
      </c>
    </row>
    <row r="34" spans="1:46" ht="20.5" customHeight="1" thickBot="1" x14ac:dyDescent="0.25">
      <c r="B34" s="36" t="s">
        <v>45</v>
      </c>
      <c r="C34" s="42">
        <v>10</v>
      </c>
      <c r="E34" s="80">
        <f>'Outros Serviços'!C5</f>
        <v>3</v>
      </c>
      <c r="G34" s="51">
        <v>0.01</v>
      </c>
      <c r="K34" s="82" t="s">
        <v>47</v>
      </c>
      <c r="L34" s="83"/>
      <c r="M34" s="84">
        <f>1-(M33/M31)</f>
        <v>0.32887999999999995</v>
      </c>
    </row>
    <row r="35" spans="1:46" ht="21.5" customHeight="1" x14ac:dyDescent="0.2">
      <c r="B35" s="36" t="s">
        <v>0</v>
      </c>
      <c r="C35" s="42">
        <v>2</v>
      </c>
      <c r="E35" s="80">
        <f>'Outros Serviços'!C6</f>
        <v>5.9</v>
      </c>
      <c r="G35" s="51">
        <v>0.01</v>
      </c>
      <c r="M35" s="53"/>
    </row>
    <row r="36" spans="1:46" ht="22.25" customHeight="1" thickBot="1" x14ac:dyDescent="0.25">
      <c r="B36" s="37" t="s">
        <v>3</v>
      </c>
      <c r="C36" s="43">
        <v>1</v>
      </c>
      <c r="E36" s="81">
        <f>'Outros Serviços'!C7</f>
        <v>9</v>
      </c>
      <c r="G36" s="51">
        <v>0.01</v>
      </c>
    </row>
    <row r="37" spans="1:46" ht="15" x14ac:dyDescent="0.2"/>
    <row r="38" spans="1:46" s="33" customFormat="1" ht="15" x14ac:dyDescent="0.2">
      <c r="A38" s="7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</row>
    <row r="39" spans="1:46" ht="15" x14ac:dyDescent="0.2"/>
    <row r="46" spans="1:46" ht="0" hidden="1" customHeight="1" x14ac:dyDescent="0.2">
      <c r="K46" s="33"/>
      <c r="L46" s="33"/>
      <c r="M46" s="33"/>
    </row>
    <row r="52" spans="11:13" ht="0" hidden="1" customHeight="1" x14ac:dyDescent="0.2">
      <c r="K52" s="38"/>
      <c r="L52" s="40"/>
    </row>
    <row r="53" spans="11:13" ht="0" hidden="1" customHeight="1" x14ac:dyDescent="0.2">
      <c r="K53" s="38"/>
      <c r="L53" s="40"/>
      <c r="M53" s="40"/>
    </row>
    <row r="54" spans="11:13" ht="0" hidden="1" customHeight="1" x14ac:dyDescent="0.2">
      <c r="K54" s="39"/>
      <c r="L54" s="41"/>
      <c r="M54" s="40"/>
    </row>
    <row r="55" spans="11:13" ht="0" hidden="1" customHeight="1" x14ac:dyDescent="0.2">
      <c r="M55" s="41"/>
    </row>
    <row r="56" spans="11:13" ht="0" hidden="1" customHeight="1" x14ac:dyDescent="0.2">
      <c r="L56" s="44"/>
    </row>
    <row r="57" spans="11:13" ht="0" hidden="1" customHeight="1" x14ac:dyDescent="0.2">
      <c r="K57" s="33"/>
      <c r="L57" s="33"/>
      <c r="M57" s="44"/>
    </row>
    <row r="58" spans="11:13" ht="0" hidden="1" customHeight="1" x14ac:dyDescent="0.2">
      <c r="M58" s="33"/>
    </row>
  </sheetData>
  <sheetProtection selectLockedCells="1"/>
  <dataConsolidate link="1"/>
  <mergeCells count="10">
    <mergeCell ref="K6:M6"/>
    <mergeCell ref="K29:M29"/>
    <mergeCell ref="B19:C19"/>
    <mergeCell ref="B31:C31"/>
    <mergeCell ref="B11:I11"/>
    <mergeCell ref="B9:I9"/>
    <mergeCell ref="B29:I29"/>
    <mergeCell ref="B6:I6"/>
    <mergeCell ref="K15:M15"/>
    <mergeCell ref="K13:L13"/>
  </mergeCells>
  <dataValidations count="2">
    <dataValidation type="whole" allowBlank="1" showInputMessage="1" showErrorMessage="1" error="Por favor digitar um número inteiro entre 0 e 1.000.000" sqref="C32:C36" xr:uid="{49B5D4F3-D2F3-4AE4-9A78-DA6B162853D4}">
      <formula1>0</formula1>
      <formula2>1000000</formula2>
    </dataValidation>
    <dataValidation type="decimal" allowBlank="1" showInputMessage="1" showErrorMessage="1" error="Por favor digitar um número entre R$ 0,00 e R$ 1.000.000,00" sqref="L9:M10 M31 C20:C23" xr:uid="{6399F626-3D9A-40AE-A59C-08F750E7478B}">
      <formula1>0</formula1>
      <formula2>1000000</formula2>
    </dataValidation>
  </dataValidations>
  <printOptions horizontalCentered="1"/>
  <pageMargins left="0" right="0" top="0" bottom="0" header="0.31496062992125984" footer="0.31496062992125984"/>
  <pageSetup paperSize="9" scale="57" orientation="portrait" r:id="rId1"/>
  <ignoredErrors>
    <ignoredError sqref="C15 M9 L9:L10 M32:M33 L11:L12 M10:M11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3378B44-6DEA-4F8B-97BC-62854FBFC405}">
          <x14:formula1>
            <xm:f>Outros!$D$2:$D$10</xm:f>
          </x14:formula1>
          <xm:sqref>B9</xm:sqref>
        </x14:dataValidation>
        <x14:dataValidation type="list" allowBlank="1" showInputMessage="1" showErrorMessage="1" xr:uid="{6E31E356-CE63-4471-8F83-9D1940F78B08}">
          <x14:formula1>
            <xm:f>Outros!$C$2:$C$4</xm:f>
          </x14:formula1>
          <xm:sqref>C17</xm:sqref>
        </x14:dataValidation>
        <x14:dataValidation type="list" allowBlank="1" showInputMessage="1" showErrorMessage="1" xr:uid="{8B5A77EE-E424-4C47-9118-4F99608964B7}">
          <x14:formula1>
            <xm:f>Outros!$A$2:$A$3</xm:f>
          </x14:formula1>
          <xm:sqref>C13</xm:sqref>
        </x14:dataValidation>
        <x14:dataValidation type="list" allowBlank="1" showInputMessage="1" showErrorMessage="1" xr:uid="{2E51C691-36DA-4589-9040-FDDF17030B62}">
          <x14:formula1>
            <xm:f>Outros!$E$2:$E$6</xm:f>
          </x14:formula1>
          <xm:sqref>E22</xm:sqref>
        </x14:dataValidation>
        <x14:dataValidation type="list" allowBlank="1" showInputMessage="1" showErrorMessage="1" xr:uid="{7C15B97D-268C-4217-9ECA-E589622A018E}">
          <x14:formula1>
            <xm:f>Outros!$F$2:$F$7</xm:f>
          </x14:formula1>
          <xm:sqref>E23</xm:sqref>
        </x14:dataValidation>
        <x14:dataValidation type="list" allowBlank="1" showInputMessage="1" showErrorMessage="1" xr:uid="{CD3E5522-30B3-4A8C-9A8C-4B36CE5501E8}">
          <x14:formula1>
            <xm:f>Outros!$H$2:$H$22</xm:f>
          </x14:formula1>
          <xm:sqref>G32:G36</xm:sqref>
        </x14:dataValidation>
        <x14:dataValidation type="list" allowBlank="1" showInputMessage="1" showErrorMessage="1" xr:uid="{432A861B-9AD2-4396-9E42-51E79D7CFCC9}">
          <x14:formula1>
            <xm:f>Outros!$J$2:$J$12</xm:f>
          </x14:formula1>
          <xm:sqref>C27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33B2-28C4-4A9C-B90B-3D6C924295FA}">
  <sheetPr>
    <tabColor theme="9" tint="0.39997558519241921"/>
  </sheetPr>
  <dimension ref="A9:L15"/>
  <sheetViews>
    <sheetView showGridLines="0" workbookViewId="0">
      <selection activeCell="E20" sqref="E20"/>
    </sheetView>
  </sheetViews>
  <sheetFormatPr baseColWidth="10" defaultColWidth="8.83203125" defaultRowHeight="15" x14ac:dyDescent="0.2"/>
  <sheetData>
    <row r="9" spans="1:12" x14ac:dyDescent="0.2">
      <c r="A9" s="171" t="s">
        <v>89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</row>
    <row r="10" spans="1:12" x14ac:dyDescent="0.2">
      <c r="A10" s="171"/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</row>
    <row r="11" spans="1:12" x14ac:dyDescent="0.2">
      <c r="A11" s="171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</row>
    <row r="12" spans="1:12" x14ac:dyDescent="0.2">
      <c r="A12" s="171"/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</row>
    <row r="13" spans="1:12" x14ac:dyDescent="0.2">
      <c r="A13" s="171"/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</row>
    <row r="14" spans="1:12" x14ac:dyDescent="0.2">
      <c r="A14" s="171"/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1"/>
    </row>
    <row r="15" spans="1:12" x14ac:dyDescent="0.2">
      <c r="A15" s="171"/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</row>
  </sheetData>
  <mergeCells count="1">
    <mergeCell ref="A9:L1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73B3-5F3C-498D-B848-650154E257A8}">
  <sheetPr>
    <pageSetUpPr fitToPage="1"/>
  </sheetPr>
  <dimension ref="B1:C18"/>
  <sheetViews>
    <sheetView showGridLines="0" zoomScale="110" zoomScaleNormal="110" workbookViewId="0">
      <selection activeCell="E20" sqref="E20"/>
    </sheetView>
  </sheetViews>
  <sheetFormatPr baseColWidth="10" defaultColWidth="10.6640625" defaultRowHeight="15" x14ac:dyDescent="0.2"/>
  <cols>
    <col min="1" max="1" width="2.5" customWidth="1"/>
    <col min="2" max="2" width="28.6640625" bestFit="1" customWidth="1"/>
    <col min="3" max="3" width="11.5" customWidth="1"/>
    <col min="4" max="4" width="2.5" customWidth="1"/>
  </cols>
  <sheetData>
    <row r="1" spans="2:3" ht="16" thickBot="1" x14ac:dyDescent="0.25"/>
    <row r="2" spans="2:3" x14ac:dyDescent="0.2">
      <c r="B2" s="156" t="s">
        <v>92</v>
      </c>
      <c r="C2" s="157">
        <v>0.03</v>
      </c>
    </row>
    <row r="3" spans="2:3" x14ac:dyDescent="0.2">
      <c r="B3" s="1" t="s">
        <v>93</v>
      </c>
      <c r="C3" s="158">
        <v>0.03</v>
      </c>
    </row>
    <row r="4" spans="2:3" ht="16" thickBot="1" x14ac:dyDescent="0.25">
      <c r="B4" s="2" t="s">
        <v>94</v>
      </c>
      <c r="C4" s="159">
        <v>0.02</v>
      </c>
    </row>
    <row r="6" spans="2:3" x14ac:dyDescent="0.2">
      <c r="B6" s="161" t="s">
        <v>109</v>
      </c>
    </row>
    <row r="7" spans="2:3" x14ac:dyDescent="0.2">
      <c r="B7">
        <v>1</v>
      </c>
      <c r="C7" s="27">
        <v>5.0000000000000001E-3</v>
      </c>
    </row>
    <row r="8" spans="2:3" x14ac:dyDescent="0.2">
      <c r="B8">
        <v>2</v>
      </c>
      <c r="C8" s="27">
        <f>C7+0.25%</f>
        <v>7.4999999999999997E-3</v>
      </c>
    </row>
    <row r="9" spans="2:3" x14ac:dyDescent="0.2">
      <c r="B9">
        <v>3</v>
      </c>
      <c r="C9" s="27">
        <f t="shared" ref="C9:C18" si="0">C8+0.25%</f>
        <v>0.01</v>
      </c>
    </row>
    <row r="10" spans="2:3" x14ac:dyDescent="0.2">
      <c r="B10">
        <v>4</v>
      </c>
      <c r="C10" s="27">
        <f t="shared" si="0"/>
        <v>1.2500000000000001E-2</v>
      </c>
    </row>
    <row r="11" spans="2:3" x14ac:dyDescent="0.2">
      <c r="B11">
        <v>5</v>
      </c>
      <c r="C11" s="27">
        <f t="shared" si="0"/>
        <v>1.5000000000000001E-2</v>
      </c>
    </row>
    <row r="12" spans="2:3" x14ac:dyDescent="0.2">
      <c r="B12">
        <v>6</v>
      </c>
      <c r="C12" s="27">
        <f t="shared" si="0"/>
        <v>1.7500000000000002E-2</v>
      </c>
    </row>
    <row r="13" spans="2:3" x14ac:dyDescent="0.2">
      <c r="B13">
        <v>7</v>
      </c>
      <c r="C13" s="27">
        <f t="shared" si="0"/>
        <v>0.02</v>
      </c>
    </row>
    <row r="14" spans="2:3" x14ac:dyDescent="0.2">
      <c r="B14">
        <v>8</v>
      </c>
      <c r="C14" s="27">
        <f t="shared" si="0"/>
        <v>2.2499999999999999E-2</v>
      </c>
    </row>
    <row r="15" spans="2:3" x14ac:dyDescent="0.2">
      <c r="B15">
        <v>9</v>
      </c>
      <c r="C15" s="27">
        <f t="shared" si="0"/>
        <v>2.4999999999999998E-2</v>
      </c>
    </row>
    <row r="16" spans="2:3" x14ac:dyDescent="0.2">
      <c r="B16">
        <v>10</v>
      </c>
      <c r="C16" s="27">
        <f t="shared" si="0"/>
        <v>2.7499999999999997E-2</v>
      </c>
    </row>
    <row r="17" spans="2:3" x14ac:dyDescent="0.2">
      <c r="B17">
        <v>11</v>
      </c>
      <c r="C17" s="27">
        <f t="shared" si="0"/>
        <v>2.9999999999999995E-2</v>
      </c>
    </row>
    <row r="18" spans="2:3" x14ac:dyDescent="0.2">
      <c r="B18">
        <v>12</v>
      </c>
      <c r="C18" s="27">
        <f t="shared" si="0"/>
        <v>3.2499999999999994E-2</v>
      </c>
    </row>
  </sheetData>
  <pageMargins left="0.7" right="0.7" top="0.75" bottom="0.75" header="0.3" footer="0.3"/>
  <pageSetup scale="73" fitToHeight="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6610-4F39-4B62-A282-8E3FF915BCC9}">
  <dimension ref="B1:H11"/>
  <sheetViews>
    <sheetView showGridLines="0" topLeftCell="B1" workbookViewId="0">
      <selection activeCell="E20" sqref="E20"/>
    </sheetView>
  </sheetViews>
  <sheetFormatPr baseColWidth="10" defaultColWidth="8.83203125" defaultRowHeight="15" x14ac:dyDescent="0.2"/>
  <cols>
    <col min="2" max="2" width="22.5" bestFit="1" customWidth="1"/>
    <col min="6" max="6" width="20.6640625" customWidth="1"/>
    <col min="7" max="8" width="12.6640625" customWidth="1"/>
  </cols>
  <sheetData>
    <row r="1" spans="2:8" x14ac:dyDescent="0.2">
      <c r="B1" s="20"/>
      <c r="C1" s="20"/>
      <c r="D1" s="20"/>
      <c r="E1" s="20"/>
      <c r="F1" s="20"/>
      <c r="G1" s="20"/>
      <c r="H1" s="20"/>
    </row>
    <row r="2" spans="2:8" x14ac:dyDescent="0.2">
      <c r="B2" s="24" t="s">
        <v>4</v>
      </c>
      <c r="C2" s="25">
        <f>IF($C$10="Visa/Master",VLOOKUP($C$11,'Taxas Bandeira'!A:N,14,0),IF($C$10="Elo",VLOOKUP($C$11,'Taxas Bandeira'!A:N,3,0),IF($C$10="Hipercard",VLOOKUP($C$11,'Taxas Bandeira'!A:N,10,0),0)))</f>
        <v>8.1566E-3</v>
      </c>
      <c r="D2" s="25">
        <f>C2+H2</f>
        <v>1.01566E-2</v>
      </c>
      <c r="E2" s="25">
        <f>IFERROR('Simulador Eco Circ Verde'!C20/'Simulador Eco Circ Verde'!$C$24,0)</f>
        <v>0</v>
      </c>
      <c r="F2" s="22">
        <v>0</v>
      </c>
      <c r="G2" s="30" t="str">
        <f>'Simulador Eco Circ Verde'!C15</f>
        <v>Sim</v>
      </c>
      <c r="H2" s="31">
        <f>IF(C10="Hipercard",0%,0.2%)</f>
        <v>2E-3</v>
      </c>
    </row>
    <row r="3" spans="2:8" x14ac:dyDescent="0.2">
      <c r="B3" s="24" t="s">
        <v>10</v>
      </c>
      <c r="C3" s="25">
        <f>IF($C$10="Visa/Master",VLOOKUP($C$11,'Taxas Bandeira'!A:N,13,0),IF($C$10="Elo",VLOOKUP($C$11,'Taxas Bandeira'!A:N,4,0),IF($C$10="Hipercard",VLOOKUP($C$11,'Taxas Bandeira'!A:N,9,0))))</f>
        <v>1.6858599999999998E-2</v>
      </c>
      <c r="D3" s="25">
        <f>IF($G$2="Sim",C3+0%,C3+H3)</f>
        <v>1.6858599999999998E-2</v>
      </c>
      <c r="E3" s="25">
        <f>IFERROR('Simulador Eco Circ Verde'!C21/'Simulador Eco Circ Verde'!$C$24,0)</f>
        <v>3.8461538461538464E-2</v>
      </c>
      <c r="F3" s="22">
        <v>1</v>
      </c>
      <c r="H3" s="31">
        <f>0.5%</f>
        <v>5.0000000000000001E-3</v>
      </c>
    </row>
    <row r="4" spans="2:8" x14ac:dyDescent="0.2">
      <c r="B4" s="24" t="s">
        <v>35</v>
      </c>
      <c r="C4" s="25">
        <f>IF($C$10="Visa/Master",VLOOKUP($C$11,'Taxas Bandeira'!A:N,11,0),IF($C$10="Elo",VLOOKUP($C$11,'Taxas Bandeira'!A:N,5,0),IF($C$10="Hipercard",VLOOKUP($C$11,'Taxas Bandeira'!A:N,7,0),0)))</f>
        <v>2.0049999999999998E-2</v>
      </c>
      <c r="D4" s="25">
        <f>IF($G$2="Sim",C4+0%,C4+H4)</f>
        <v>2.0049999999999998E-2</v>
      </c>
      <c r="E4" s="25">
        <f>IFERROR('Simulador Eco Circ Verde'!C22/'Simulador Eco Circ Verde'!$C$24,0)</f>
        <v>0.19230769230769232</v>
      </c>
      <c r="F4" s="23">
        <f>'Simulador Eco Circ Verde'!E22</f>
        <v>2</v>
      </c>
      <c r="H4" s="31">
        <f>0.5%</f>
        <v>5.0000000000000001E-3</v>
      </c>
    </row>
    <row r="5" spans="2:8" x14ac:dyDescent="0.2">
      <c r="B5" s="24" t="s">
        <v>36</v>
      </c>
      <c r="C5" s="25">
        <f>IF($C$10="Visa/Master",VLOOKUP($C$11,'Taxas Bandeira'!A:N,12,0),IF($C$10="Elo",VLOOKUP($C$11,'Taxas Bandeira'!A:N,6,0),IF($C$10="Hipercard",VLOOKUP($C$11,'Taxas Bandeira'!A:N,8,0),0)))</f>
        <v>2.3337200000000002E-2</v>
      </c>
      <c r="D5" s="25">
        <f>IF($G$2="Sim",C5+0%,C5+H5)</f>
        <v>2.3337200000000002E-2</v>
      </c>
      <c r="E5" s="25">
        <f>IFERROR('Simulador Eco Circ Verde'!C23/'Simulador Eco Circ Verde'!$C$24,0)</f>
        <v>0.76923076923076927</v>
      </c>
      <c r="F5" s="23">
        <f>'Simulador Eco Circ Verde'!E23</f>
        <v>7</v>
      </c>
      <c r="H5" s="31">
        <f>0.5%</f>
        <v>5.0000000000000001E-3</v>
      </c>
    </row>
    <row r="6" spans="2:8" x14ac:dyDescent="0.2">
      <c r="B6" s="26"/>
      <c r="C6" s="26"/>
      <c r="D6" s="26"/>
      <c r="E6" s="26"/>
      <c r="F6" s="26"/>
    </row>
    <row r="8" spans="2:8" x14ac:dyDescent="0.2">
      <c r="B8" s="20"/>
      <c r="C8" s="28">
        <f>IF(G2="Sim",'Simulador Eco Circ Verde'!C27,0%)</f>
        <v>2.9899999999999999E-2</v>
      </c>
    </row>
    <row r="10" spans="2:8" ht="16" x14ac:dyDescent="0.2">
      <c r="B10" s="29" t="s">
        <v>107</v>
      </c>
      <c r="C10" t="str">
        <f>'Simulador Eco Circ Verde'!C17</f>
        <v>Visa/Master</v>
      </c>
    </row>
    <row r="11" spans="2:8" ht="16" x14ac:dyDescent="0.2">
      <c r="B11" s="29" t="s">
        <v>108</v>
      </c>
      <c r="C11" t="str">
        <f>'Simulador Eco Circ Verde'!B9</f>
        <v>Comercio varejista de vestuário, acessórios, calçados, roupas íntimas, etc</v>
      </c>
      <c r="D11" s="5"/>
      <c r="E11" s="5"/>
      <c r="F11" s="5"/>
      <c r="G11" s="5"/>
      <c r="H11" s="5"/>
    </row>
  </sheetData>
  <dataValidations disablePrompts="1" count="1">
    <dataValidation type="decimal" allowBlank="1" showInputMessage="1" showErrorMessage="1" sqref="F4:F5" xr:uid="{208937A8-EEA0-41FF-B022-F886FD68614D}">
      <formula1>2</formula1>
      <formula2>6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6635-D51D-4D2B-B715-97A761842275}">
  <sheetPr>
    <pageSetUpPr fitToPage="1"/>
  </sheetPr>
  <dimension ref="B1:M91"/>
  <sheetViews>
    <sheetView showGridLines="0" zoomScale="80" zoomScaleNormal="80" workbookViewId="0">
      <selection activeCell="E20" sqref="E20"/>
    </sheetView>
  </sheetViews>
  <sheetFormatPr baseColWidth="10" defaultColWidth="12.1640625" defaultRowHeight="16" x14ac:dyDescent="0.2"/>
  <cols>
    <col min="1" max="1" width="2.5" style="112" customWidth="1"/>
    <col min="2" max="2" width="17.83203125" style="113" customWidth="1"/>
    <col min="3" max="3" width="12.1640625" style="113" customWidth="1"/>
    <col min="4" max="4" width="17.33203125" style="113" customWidth="1"/>
    <col min="5" max="5" width="12.1640625" style="113" customWidth="1"/>
    <col min="6" max="6" width="12.6640625" style="113" customWidth="1"/>
    <col min="7" max="7" width="14" style="113" customWidth="1"/>
    <col min="8" max="8" width="12.1640625" style="113" customWidth="1"/>
    <col min="9" max="9" width="12.1640625" style="112" customWidth="1"/>
    <col min="10" max="10" width="23.5" style="112" bestFit="1" customWidth="1"/>
    <col min="11" max="11" width="18.1640625" style="112" bestFit="1" customWidth="1"/>
    <col min="12" max="12" width="20.33203125" style="112" customWidth="1"/>
    <col min="13" max="13" width="20.6640625" style="112" customWidth="1"/>
    <col min="14" max="14" width="3.6640625" style="112" customWidth="1"/>
    <col min="15" max="15" width="14.33203125" style="112" customWidth="1"/>
    <col min="16" max="16" width="16.6640625" style="112" customWidth="1"/>
    <col min="17" max="17" width="2.1640625" style="112" customWidth="1"/>
    <col min="18" max="18" width="21.33203125" style="112" customWidth="1"/>
    <col min="19" max="16384" width="12.1640625" style="112"/>
  </cols>
  <sheetData>
    <row r="1" spans="2:13" ht="17" thickBot="1" x14ac:dyDescent="0.25"/>
    <row r="2" spans="2:13" ht="17" x14ac:dyDescent="0.2">
      <c r="C2" s="114"/>
      <c r="J2" s="189" t="s">
        <v>101</v>
      </c>
      <c r="K2" s="190"/>
      <c r="L2" s="190"/>
      <c r="M2" s="191"/>
    </row>
    <row r="3" spans="2:13" ht="17" x14ac:dyDescent="0.2">
      <c r="J3" s="140" t="s">
        <v>97</v>
      </c>
      <c r="K3" s="187">
        <f>K25</f>
        <v>2.9899999999999999E-2</v>
      </c>
      <c r="L3" s="187"/>
      <c r="M3" s="188"/>
    </row>
    <row r="4" spans="2:13" ht="17" x14ac:dyDescent="0.2">
      <c r="J4" s="140" t="s">
        <v>10</v>
      </c>
      <c r="K4" s="192">
        <f>K26</f>
        <v>1.01566E-2</v>
      </c>
      <c r="L4" s="192"/>
      <c r="M4" s="193"/>
    </row>
    <row r="5" spans="2:13" ht="17" x14ac:dyDescent="0.2">
      <c r="J5" s="140" t="s">
        <v>98</v>
      </c>
      <c r="K5" s="187">
        <f>K27</f>
        <v>1.6858599999999998E-2</v>
      </c>
      <c r="L5" s="187"/>
      <c r="M5" s="188"/>
    </row>
    <row r="6" spans="2:13" ht="17" x14ac:dyDescent="0.2">
      <c r="J6" s="141" t="s">
        <v>99</v>
      </c>
      <c r="K6" s="192">
        <f>K28</f>
        <v>2.0049999999999998E-2</v>
      </c>
      <c r="L6" s="192"/>
      <c r="M6" s="193"/>
    </row>
    <row r="7" spans="2:13" ht="18" thickBot="1" x14ac:dyDescent="0.25">
      <c r="J7" s="141" t="s">
        <v>100</v>
      </c>
      <c r="K7" s="187">
        <f>K29</f>
        <v>2.3337200000000002E-2</v>
      </c>
      <c r="L7" s="187"/>
      <c r="M7" s="188"/>
    </row>
    <row r="8" spans="2:13" ht="54.75" customHeight="1" x14ac:dyDescent="0.2">
      <c r="B8" s="111" t="s">
        <v>95</v>
      </c>
      <c r="C8" s="138" t="s">
        <v>11</v>
      </c>
      <c r="D8" s="138" t="s">
        <v>12</v>
      </c>
      <c r="E8" s="138" t="s">
        <v>13</v>
      </c>
      <c r="F8" s="138" t="s">
        <v>14</v>
      </c>
      <c r="G8" s="139" t="s">
        <v>96</v>
      </c>
      <c r="J8" s="143" t="s">
        <v>102</v>
      </c>
      <c r="K8" s="142" t="s">
        <v>103</v>
      </c>
      <c r="L8" s="142" t="s">
        <v>106</v>
      </c>
      <c r="M8" s="144" t="s">
        <v>104</v>
      </c>
    </row>
    <row r="9" spans="2:13" ht="18" customHeight="1" x14ac:dyDescent="0.2">
      <c r="B9" s="122">
        <v>30</v>
      </c>
      <c r="C9" s="113">
        <f>AVERAGE(B9)</f>
        <v>30</v>
      </c>
      <c r="D9" s="123">
        <f t="shared" ref="D9:D20" si="0">($K$25/30)*(C9-1)</f>
        <v>2.8903333333333336E-2</v>
      </c>
      <c r="E9" s="124">
        <f>D9+F9</f>
        <v>4.5761933333333338E-2</v>
      </c>
      <c r="F9" s="124">
        <f>K5</f>
        <v>1.6858599999999998E-2</v>
      </c>
      <c r="G9" s="125">
        <f t="shared" ref="G9:G20" si="1">J10*(1-E9)</f>
        <v>0</v>
      </c>
      <c r="J9" s="145">
        <f>'Simulador Eco Circ Verde'!C20</f>
        <v>0</v>
      </c>
      <c r="K9" s="119" t="s">
        <v>4</v>
      </c>
      <c r="L9" s="146">
        <f>$K$26</f>
        <v>1.01566E-2</v>
      </c>
      <c r="M9" s="147">
        <f>(1-L9)*J9</f>
        <v>0</v>
      </c>
    </row>
    <row r="10" spans="2:13" x14ac:dyDescent="0.2">
      <c r="B10" s="122">
        <v>60</v>
      </c>
      <c r="C10" s="113">
        <f>AVERAGE(B9:B10)</f>
        <v>45</v>
      </c>
      <c r="D10" s="123">
        <f t="shared" si="0"/>
        <v>4.3853333333333334E-2</v>
      </c>
      <c r="E10" s="124">
        <f>D10+F10</f>
        <v>6.390333333333334E-2</v>
      </c>
      <c r="F10" s="124">
        <f>K6</f>
        <v>2.0049999999999998E-2</v>
      </c>
      <c r="G10" s="125">
        <f t="shared" si="1"/>
        <v>0</v>
      </c>
      <c r="J10" s="148">
        <f>J9</f>
        <v>0</v>
      </c>
      <c r="K10" s="127" t="s">
        <v>105</v>
      </c>
      <c r="L10" s="149">
        <f t="shared" ref="L10:L21" si="2">E9</f>
        <v>4.5761933333333338E-2</v>
      </c>
      <c r="M10" s="150">
        <f t="shared" ref="M10:M21" si="3">G9</f>
        <v>0</v>
      </c>
    </row>
    <row r="11" spans="2:13" ht="18" customHeight="1" x14ac:dyDescent="0.2">
      <c r="B11" s="122">
        <v>90</v>
      </c>
      <c r="C11" s="113">
        <f>AVERAGE(B9:B11)</f>
        <v>60</v>
      </c>
      <c r="D11" s="123">
        <f t="shared" si="0"/>
        <v>5.8803333333333339E-2</v>
      </c>
      <c r="E11" s="124">
        <f>D11+F11</f>
        <v>7.8853333333333331E-2</v>
      </c>
      <c r="F11" s="124">
        <f>K6</f>
        <v>2.0049999999999998E-2</v>
      </c>
      <c r="G11" s="125">
        <f t="shared" si="1"/>
        <v>0</v>
      </c>
      <c r="J11" s="151">
        <f>J10</f>
        <v>0</v>
      </c>
      <c r="K11" s="119">
        <v>2</v>
      </c>
      <c r="L11" s="146">
        <f t="shared" si="2"/>
        <v>6.390333333333334E-2</v>
      </c>
      <c r="M11" s="147">
        <f t="shared" si="3"/>
        <v>0</v>
      </c>
    </row>
    <row r="12" spans="2:13" x14ac:dyDescent="0.2">
      <c r="B12" s="122">
        <v>120</v>
      </c>
      <c r="C12" s="113">
        <f>AVERAGE(B9:B12)</f>
        <v>75</v>
      </c>
      <c r="D12" s="123">
        <f t="shared" si="0"/>
        <v>7.3753333333333337E-2</v>
      </c>
      <c r="E12" s="124">
        <f t="shared" ref="E12:E20" si="4">D12+F12</f>
        <v>9.3803333333333336E-2</v>
      </c>
      <c r="F12" s="124">
        <f>K6</f>
        <v>2.0049999999999998E-2</v>
      </c>
      <c r="G12" s="125">
        <f t="shared" si="1"/>
        <v>0</v>
      </c>
      <c r="J12" s="148">
        <f>J10</f>
        <v>0</v>
      </c>
      <c r="K12" s="127">
        <v>3</v>
      </c>
      <c r="L12" s="149">
        <f t="shared" si="2"/>
        <v>7.8853333333333331E-2</v>
      </c>
      <c r="M12" s="150">
        <f t="shared" si="3"/>
        <v>0</v>
      </c>
    </row>
    <row r="13" spans="2:13" x14ac:dyDescent="0.2">
      <c r="B13" s="122">
        <v>150</v>
      </c>
      <c r="C13" s="113">
        <f>AVERAGE(B9:B13)</f>
        <v>90</v>
      </c>
      <c r="D13" s="123">
        <f t="shared" si="0"/>
        <v>8.8703333333333342E-2</v>
      </c>
      <c r="E13" s="124">
        <f t="shared" si="4"/>
        <v>0.10875333333333334</v>
      </c>
      <c r="F13" s="124">
        <f>K6</f>
        <v>2.0049999999999998E-2</v>
      </c>
      <c r="G13" s="125">
        <f t="shared" si="1"/>
        <v>0</v>
      </c>
      <c r="J13" s="151">
        <f>J10</f>
        <v>0</v>
      </c>
      <c r="K13" s="119">
        <v>4</v>
      </c>
      <c r="L13" s="146">
        <f t="shared" si="2"/>
        <v>9.3803333333333336E-2</v>
      </c>
      <c r="M13" s="147">
        <f t="shared" si="3"/>
        <v>0</v>
      </c>
    </row>
    <row r="14" spans="2:13" x14ac:dyDescent="0.2">
      <c r="B14" s="122">
        <v>180</v>
      </c>
      <c r="C14" s="113">
        <f>AVERAGE(B9:B14)</f>
        <v>105</v>
      </c>
      <c r="D14" s="123">
        <f t="shared" si="0"/>
        <v>0.10365333333333335</v>
      </c>
      <c r="E14" s="124">
        <f t="shared" si="4"/>
        <v>0.12370333333333335</v>
      </c>
      <c r="F14" s="124">
        <f>K6</f>
        <v>2.0049999999999998E-2</v>
      </c>
      <c r="G14" s="125">
        <f t="shared" si="1"/>
        <v>0</v>
      </c>
      <c r="J14" s="148">
        <f>J10</f>
        <v>0</v>
      </c>
      <c r="K14" s="127">
        <v>5</v>
      </c>
      <c r="L14" s="149">
        <f t="shared" si="2"/>
        <v>0.10875333333333334</v>
      </c>
      <c r="M14" s="150">
        <f t="shared" si="3"/>
        <v>0</v>
      </c>
    </row>
    <row r="15" spans="2:13" x14ac:dyDescent="0.2">
      <c r="B15" s="122">
        <v>210</v>
      </c>
      <c r="C15" s="113">
        <f>AVERAGE(B9:B15)</f>
        <v>120</v>
      </c>
      <c r="D15" s="123">
        <f t="shared" si="0"/>
        <v>0.11860333333333334</v>
      </c>
      <c r="E15" s="124">
        <f t="shared" si="4"/>
        <v>0.14194053333333334</v>
      </c>
      <c r="F15" s="124">
        <f>K7</f>
        <v>2.3337200000000002E-2</v>
      </c>
      <c r="G15" s="125">
        <f t="shared" si="1"/>
        <v>0</v>
      </c>
      <c r="J15" s="151">
        <f>J10</f>
        <v>0</v>
      </c>
      <c r="K15" s="119">
        <v>6</v>
      </c>
      <c r="L15" s="146">
        <f t="shared" si="2"/>
        <v>0.12370333333333335</v>
      </c>
      <c r="M15" s="147">
        <f t="shared" si="3"/>
        <v>0</v>
      </c>
    </row>
    <row r="16" spans="2:13" x14ac:dyDescent="0.2">
      <c r="B16" s="122">
        <v>240</v>
      </c>
      <c r="C16" s="113">
        <f>AVERAGE(B9:B16)</f>
        <v>135</v>
      </c>
      <c r="D16" s="123">
        <f t="shared" si="0"/>
        <v>0.13355333333333336</v>
      </c>
      <c r="E16" s="124">
        <f t="shared" si="4"/>
        <v>0.15689053333333336</v>
      </c>
      <c r="F16" s="124">
        <f>K7</f>
        <v>2.3337200000000002E-2</v>
      </c>
      <c r="G16" s="125">
        <f t="shared" si="1"/>
        <v>0</v>
      </c>
      <c r="J16" s="148">
        <f>J10</f>
        <v>0</v>
      </c>
      <c r="K16" s="127">
        <v>7</v>
      </c>
      <c r="L16" s="149">
        <f t="shared" si="2"/>
        <v>0.14194053333333334</v>
      </c>
      <c r="M16" s="150">
        <f t="shared" si="3"/>
        <v>0</v>
      </c>
    </row>
    <row r="17" spans="2:13" x14ac:dyDescent="0.2">
      <c r="B17" s="122">
        <v>270</v>
      </c>
      <c r="C17" s="113">
        <f>AVERAGE(B9:B17)</f>
        <v>150</v>
      </c>
      <c r="D17" s="123">
        <f t="shared" si="0"/>
        <v>0.14850333333333335</v>
      </c>
      <c r="E17" s="124">
        <f t="shared" si="4"/>
        <v>0.17184053333333335</v>
      </c>
      <c r="F17" s="124">
        <f>K7</f>
        <v>2.3337200000000002E-2</v>
      </c>
      <c r="G17" s="125">
        <f t="shared" si="1"/>
        <v>0</v>
      </c>
      <c r="J17" s="151">
        <f>J10</f>
        <v>0</v>
      </c>
      <c r="K17" s="119">
        <v>8</v>
      </c>
      <c r="L17" s="146">
        <f t="shared" si="2"/>
        <v>0.15689053333333336</v>
      </c>
      <c r="M17" s="147">
        <f t="shared" si="3"/>
        <v>0</v>
      </c>
    </row>
    <row r="18" spans="2:13" x14ac:dyDescent="0.2">
      <c r="B18" s="122">
        <v>300</v>
      </c>
      <c r="C18" s="113">
        <f>AVERAGE(B9:B18)</f>
        <v>165</v>
      </c>
      <c r="D18" s="123">
        <f t="shared" si="0"/>
        <v>0.16345333333333334</v>
      </c>
      <c r="E18" s="124">
        <f t="shared" si="4"/>
        <v>0.18679053333333334</v>
      </c>
      <c r="F18" s="124">
        <f>K7</f>
        <v>2.3337200000000002E-2</v>
      </c>
      <c r="G18" s="125">
        <f t="shared" si="1"/>
        <v>0</v>
      </c>
      <c r="J18" s="148">
        <f>J10</f>
        <v>0</v>
      </c>
      <c r="K18" s="127">
        <v>9</v>
      </c>
      <c r="L18" s="149">
        <f t="shared" si="2"/>
        <v>0.17184053333333335</v>
      </c>
      <c r="M18" s="150">
        <f t="shared" si="3"/>
        <v>0</v>
      </c>
    </row>
    <row r="19" spans="2:13" x14ac:dyDescent="0.2">
      <c r="B19" s="122">
        <v>330</v>
      </c>
      <c r="C19" s="113">
        <f>AVERAGE(B9:B19)</f>
        <v>180</v>
      </c>
      <c r="D19" s="123">
        <f t="shared" si="0"/>
        <v>0.17840333333333336</v>
      </c>
      <c r="E19" s="124">
        <f t="shared" si="4"/>
        <v>0.20174053333333336</v>
      </c>
      <c r="F19" s="124">
        <f>K7</f>
        <v>2.3337200000000002E-2</v>
      </c>
      <c r="G19" s="125">
        <f t="shared" si="1"/>
        <v>0</v>
      </c>
      <c r="J19" s="151">
        <f>J10</f>
        <v>0</v>
      </c>
      <c r="K19" s="119">
        <v>10</v>
      </c>
      <c r="L19" s="146">
        <f t="shared" si="2"/>
        <v>0.18679053333333334</v>
      </c>
      <c r="M19" s="147">
        <f t="shared" si="3"/>
        <v>0</v>
      </c>
    </row>
    <row r="20" spans="2:13" ht="17" thickBot="1" x14ac:dyDescent="0.25">
      <c r="B20" s="129">
        <v>360</v>
      </c>
      <c r="C20" s="130">
        <f>AVERAGE(B9:B20)</f>
        <v>195</v>
      </c>
      <c r="D20" s="131">
        <f t="shared" si="0"/>
        <v>0.19335333333333335</v>
      </c>
      <c r="E20" s="132">
        <f t="shared" si="4"/>
        <v>0.21669053333333335</v>
      </c>
      <c r="F20" s="132">
        <f>K7</f>
        <v>2.3337200000000002E-2</v>
      </c>
      <c r="G20" s="133">
        <f t="shared" si="1"/>
        <v>0</v>
      </c>
      <c r="J20" s="148">
        <f>J10</f>
        <v>0</v>
      </c>
      <c r="K20" s="127">
        <v>11</v>
      </c>
      <c r="L20" s="149">
        <f t="shared" si="2"/>
        <v>0.20174053333333336</v>
      </c>
      <c r="M20" s="150">
        <f t="shared" si="3"/>
        <v>0</v>
      </c>
    </row>
    <row r="21" spans="2:13" ht="17" thickBot="1" x14ac:dyDescent="0.25">
      <c r="B21" s="112"/>
      <c r="C21" s="112"/>
      <c r="D21" s="112"/>
      <c r="E21" s="112"/>
      <c r="F21" s="112"/>
      <c r="G21" s="112"/>
      <c r="J21" s="152">
        <f>J10</f>
        <v>0</v>
      </c>
      <c r="K21" s="153">
        <v>12</v>
      </c>
      <c r="L21" s="154">
        <f t="shared" si="2"/>
        <v>0.21669053333333335</v>
      </c>
      <c r="M21" s="155">
        <f t="shared" si="3"/>
        <v>0</v>
      </c>
    </row>
    <row r="22" spans="2:13" x14ac:dyDescent="0.2">
      <c r="D22" s="134"/>
      <c r="E22" s="124"/>
      <c r="F22" s="124"/>
      <c r="G22" s="135"/>
      <c r="M22" s="136">
        <f>M9</f>
        <v>0</v>
      </c>
    </row>
    <row r="24" spans="2:13" ht="17" x14ac:dyDescent="0.2">
      <c r="C24" s="114"/>
      <c r="J24" s="194"/>
      <c r="K24" s="194"/>
      <c r="L24" s="194"/>
      <c r="M24" s="194"/>
    </row>
    <row r="25" spans="2:13" ht="17" x14ac:dyDescent="0.2">
      <c r="J25" s="115"/>
      <c r="K25" s="187">
        <f>'Taxa Adquirência'!C8</f>
        <v>2.9899999999999999E-2</v>
      </c>
      <c r="L25" s="187"/>
      <c r="M25" s="187"/>
    </row>
    <row r="26" spans="2:13" ht="17" x14ac:dyDescent="0.2">
      <c r="J26" s="115"/>
      <c r="K26" s="192">
        <f>'Taxa Adquirência'!D2</f>
        <v>1.01566E-2</v>
      </c>
      <c r="L26" s="192"/>
      <c r="M26" s="192"/>
    </row>
    <row r="27" spans="2:13" ht="17" x14ac:dyDescent="0.2">
      <c r="J27" s="115"/>
      <c r="K27" s="187">
        <f>'Taxa Adquirência'!D3</f>
        <v>1.6858599999999998E-2</v>
      </c>
      <c r="L27" s="187"/>
      <c r="M27" s="187"/>
    </row>
    <row r="28" spans="2:13" ht="17" x14ac:dyDescent="0.2">
      <c r="J28" s="115"/>
      <c r="K28" s="192">
        <f>'Taxa Adquirência'!D4</f>
        <v>2.0049999999999998E-2</v>
      </c>
      <c r="L28" s="192"/>
      <c r="M28" s="192"/>
    </row>
    <row r="29" spans="2:13" ht="17" x14ac:dyDescent="0.2">
      <c r="J29" s="116"/>
      <c r="K29" s="187">
        <f>'Taxa Adquirência'!D5</f>
        <v>2.3337200000000002E-2</v>
      </c>
      <c r="L29" s="187"/>
      <c r="M29" s="187"/>
    </row>
    <row r="30" spans="2:13" ht="17" x14ac:dyDescent="0.2">
      <c r="J30" s="117"/>
      <c r="K30" s="115"/>
      <c r="L30" s="115"/>
      <c r="M30" s="115"/>
    </row>
    <row r="31" spans="2:13" ht="17" x14ac:dyDescent="0.2">
      <c r="J31" s="118">
        <f>'Simulador Eco Circ Verde'!C21</f>
        <v>1000</v>
      </c>
      <c r="K31" s="119"/>
      <c r="L31" s="120">
        <f>$K$26</f>
        <v>1.01566E-2</v>
      </c>
      <c r="M31" s="121">
        <f>(1-L31)*J31</f>
        <v>989.84340000000009</v>
      </c>
    </row>
    <row r="32" spans="2:13" x14ac:dyDescent="0.2">
      <c r="B32" s="113">
        <v>30</v>
      </c>
      <c r="C32" s="113">
        <f>AVERAGE(B32)</f>
        <v>30</v>
      </c>
      <c r="D32" s="134">
        <f>($K$25/30)*(C32-1)</f>
        <v>2.8903333333333336E-2</v>
      </c>
      <c r="E32" s="124">
        <f>D32+F32</f>
        <v>4.5761933333333338E-2</v>
      </c>
      <c r="F32" s="124">
        <f>K27</f>
        <v>1.6858599999999998E-2</v>
      </c>
      <c r="G32" s="135">
        <f>J32*(1-E32)</f>
        <v>954.23806666666667</v>
      </c>
      <c r="J32" s="126">
        <f>J31</f>
        <v>1000</v>
      </c>
      <c r="K32" s="127"/>
      <c r="L32" s="128">
        <f t="shared" ref="L32:L43" si="5">E32</f>
        <v>4.5761933333333338E-2</v>
      </c>
      <c r="M32" s="126">
        <f>G32</f>
        <v>954.23806666666667</v>
      </c>
    </row>
    <row r="33" spans="2:13" x14ac:dyDescent="0.2">
      <c r="B33" s="113">
        <v>60</v>
      </c>
      <c r="C33" s="113">
        <f>AVERAGE(B32:B33)</f>
        <v>45</v>
      </c>
      <c r="D33" s="134">
        <f>($K$25/30)*(C33-1)</f>
        <v>4.3853333333333334E-2</v>
      </c>
      <c r="E33" s="124">
        <f t="shared" ref="E33:E43" si="6">D33+F33</f>
        <v>6.390333333333334E-2</v>
      </c>
      <c r="F33" s="124">
        <f>K28</f>
        <v>2.0049999999999998E-2</v>
      </c>
      <c r="G33" s="135">
        <f t="shared" ref="G33:G43" si="7">J33*(1-E33)</f>
        <v>936.09666666666669</v>
      </c>
      <c r="J33" s="121">
        <f>J32</f>
        <v>1000</v>
      </c>
      <c r="K33" s="119" t="s">
        <v>16</v>
      </c>
      <c r="L33" s="120">
        <f t="shared" si="5"/>
        <v>6.390333333333334E-2</v>
      </c>
      <c r="M33" s="121">
        <f t="shared" ref="M33:M43" si="8">G33</f>
        <v>936.09666666666669</v>
      </c>
    </row>
    <row r="34" spans="2:13" x14ac:dyDescent="0.2">
      <c r="B34" s="113">
        <v>90</v>
      </c>
      <c r="C34" s="113">
        <f>AVERAGE(B32:B34)</f>
        <v>60</v>
      </c>
      <c r="D34" s="134">
        <f>($K$25/30)*(C34-1)</f>
        <v>5.8803333333333339E-2</v>
      </c>
      <c r="E34" s="124">
        <f>D34+F34</f>
        <v>7.8853333333333331E-2</v>
      </c>
      <c r="F34" s="124">
        <f>K28</f>
        <v>2.0049999999999998E-2</v>
      </c>
      <c r="G34" s="135">
        <f>J34*(1-E34)</f>
        <v>921.14666666666665</v>
      </c>
      <c r="J34" s="126">
        <f>J32</f>
        <v>1000</v>
      </c>
      <c r="K34" s="127" t="s">
        <v>17</v>
      </c>
      <c r="L34" s="128">
        <f t="shared" si="5"/>
        <v>7.8853333333333331E-2</v>
      </c>
      <c r="M34" s="126">
        <f>G34</f>
        <v>921.14666666666665</v>
      </c>
    </row>
    <row r="35" spans="2:13" x14ac:dyDescent="0.2">
      <c r="B35" s="113">
        <v>120</v>
      </c>
      <c r="C35" s="113">
        <f>AVERAGE(B32:B35)</f>
        <v>75</v>
      </c>
      <c r="D35" s="134">
        <f>($K$25/30)*(C35-1)</f>
        <v>7.3753333333333337E-2</v>
      </c>
      <c r="E35" s="124">
        <f t="shared" si="6"/>
        <v>9.3803333333333336E-2</v>
      </c>
      <c r="F35" s="124">
        <f>K28</f>
        <v>2.0049999999999998E-2</v>
      </c>
      <c r="G35" s="135">
        <f t="shared" si="7"/>
        <v>906.1966666666666</v>
      </c>
      <c r="J35" s="121">
        <f>J32</f>
        <v>1000</v>
      </c>
      <c r="K35" s="119" t="s">
        <v>18</v>
      </c>
      <c r="L35" s="120">
        <f t="shared" si="5"/>
        <v>9.3803333333333336E-2</v>
      </c>
      <c r="M35" s="121">
        <f t="shared" si="8"/>
        <v>906.1966666666666</v>
      </c>
    </row>
    <row r="36" spans="2:13" x14ac:dyDescent="0.2">
      <c r="B36" s="113">
        <v>150</v>
      </c>
      <c r="C36" s="113">
        <f>AVERAGE(B32:B36)</f>
        <v>90</v>
      </c>
      <c r="D36" s="134">
        <f t="shared" ref="D36:D43" si="9">($K$25/30)*(C36-1)</f>
        <v>8.8703333333333342E-2</v>
      </c>
      <c r="E36" s="124">
        <f t="shared" si="6"/>
        <v>0.10875333333333334</v>
      </c>
      <c r="F36" s="124">
        <f>K28</f>
        <v>2.0049999999999998E-2</v>
      </c>
      <c r="G36" s="135">
        <f t="shared" si="7"/>
        <v>891.24666666666667</v>
      </c>
      <c r="J36" s="126">
        <f>J32</f>
        <v>1000</v>
      </c>
      <c r="K36" s="127" t="s">
        <v>19</v>
      </c>
      <c r="L36" s="128">
        <f t="shared" si="5"/>
        <v>0.10875333333333334</v>
      </c>
      <c r="M36" s="126">
        <f t="shared" si="8"/>
        <v>891.24666666666667</v>
      </c>
    </row>
    <row r="37" spans="2:13" x14ac:dyDescent="0.2">
      <c r="B37" s="113">
        <v>180</v>
      </c>
      <c r="C37" s="113">
        <f>AVERAGE(B32:B37)</f>
        <v>105</v>
      </c>
      <c r="D37" s="134">
        <f t="shared" si="9"/>
        <v>0.10365333333333335</v>
      </c>
      <c r="E37" s="124">
        <f t="shared" si="6"/>
        <v>0.12370333333333335</v>
      </c>
      <c r="F37" s="124">
        <f>K28</f>
        <v>2.0049999999999998E-2</v>
      </c>
      <c r="G37" s="135">
        <f t="shared" si="7"/>
        <v>876.29666666666662</v>
      </c>
      <c r="J37" s="121">
        <f>J32</f>
        <v>1000</v>
      </c>
      <c r="K37" s="119" t="s">
        <v>20</v>
      </c>
      <c r="L37" s="120">
        <f t="shared" si="5"/>
        <v>0.12370333333333335</v>
      </c>
      <c r="M37" s="121">
        <f t="shared" si="8"/>
        <v>876.29666666666662</v>
      </c>
    </row>
    <row r="38" spans="2:13" x14ac:dyDescent="0.2">
      <c r="B38" s="113">
        <v>210</v>
      </c>
      <c r="C38" s="113">
        <f>AVERAGE(B32:B38)</f>
        <v>120</v>
      </c>
      <c r="D38" s="134">
        <f t="shared" si="9"/>
        <v>0.11860333333333334</v>
      </c>
      <c r="E38" s="124">
        <f t="shared" si="6"/>
        <v>0.14194053333333334</v>
      </c>
      <c r="F38" s="124">
        <f>K29</f>
        <v>2.3337200000000002E-2</v>
      </c>
      <c r="G38" s="135">
        <f t="shared" si="7"/>
        <v>858.05946666666671</v>
      </c>
      <c r="J38" s="126">
        <f>J32</f>
        <v>1000</v>
      </c>
      <c r="K38" s="127" t="s">
        <v>21</v>
      </c>
      <c r="L38" s="128">
        <f t="shared" si="5"/>
        <v>0.14194053333333334</v>
      </c>
      <c r="M38" s="126">
        <f t="shared" si="8"/>
        <v>858.05946666666671</v>
      </c>
    </row>
    <row r="39" spans="2:13" x14ac:dyDescent="0.2">
      <c r="B39" s="113">
        <v>240</v>
      </c>
      <c r="C39" s="113">
        <f>AVERAGE(B32:B39)</f>
        <v>135</v>
      </c>
      <c r="D39" s="134">
        <f t="shared" si="9"/>
        <v>0.13355333333333336</v>
      </c>
      <c r="E39" s="124">
        <f t="shared" si="6"/>
        <v>0.15689053333333336</v>
      </c>
      <c r="F39" s="124">
        <f>K29</f>
        <v>2.3337200000000002E-2</v>
      </c>
      <c r="G39" s="135">
        <f t="shared" si="7"/>
        <v>843.10946666666666</v>
      </c>
      <c r="J39" s="121">
        <f>J32</f>
        <v>1000</v>
      </c>
      <c r="K39" s="119" t="s">
        <v>22</v>
      </c>
      <c r="L39" s="120">
        <f t="shared" si="5"/>
        <v>0.15689053333333336</v>
      </c>
      <c r="M39" s="121">
        <f t="shared" si="8"/>
        <v>843.10946666666666</v>
      </c>
    </row>
    <row r="40" spans="2:13" x14ac:dyDescent="0.2">
      <c r="B40" s="113">
        <v>270</v>
      </c>
      <c r="C40" s="113">
        <f>AVERAGE(B32:B40)</f>
        <v>150</v>
      </c>
      <c r="D40" s="134">
        <f t="shared" si="9"/>
        <v>0.14850333333333335</v>
      </c>
      <c r="E40" s="124">
        <f t="shared" si="6"/>
        <v>0.17184053333333335</v>
      </c>
      <c r="F40" s="124">
        <f>K29</f>
        <v>2.3337200000000002E-2</v>
      </c>
      <c r="G40" s="135">
        <f t="shared" si="7"/>
        <v>828.15946666666662</v>
      </c>
      <c r="J40" s="126">
        <f>J32</f>
        <v>1000</v>
      </c>
      <c r="K40" s="127" t="s">
        <v>23</v>
      </c>
      <c r="L40" s="128">
        <f t="shared" si="5"/>
        <v>0.17184053333333335</v>
      </c>
      <c r="M40" s="126">
        <f t="shared" si="8"/>
        <v>828.15946666666662</v>
      </c>
    </row>
    <row r="41" spans="2:13" x14ac:dyDescent="0.2">
      <c r="B41" s="113">
        <v>300</v>
      </c>
      <c r="C41" s="113">
        <f>AVERAGE(B32:B41)</f>
        <v>165</v>
      </c>
      <c r="D41" s="134">
        <f t="shared" si="9"/>
        <v>0.16345333333333334</v>
      </c>
      <c r="E41" s="124">
        <f t="shared" si="6"/>
        <v>0.18679053333333334</v>
      </c>
      <c r="F41" s="124">
        <f>K29</f>
        <v>2.3337200000000002E-2</v>
      </c>
      <c r="G41" s="135">
        <f t="shared" si="7"/>
        <v>813.20946666666669</v>
      </c>
      <c r="J41" s="121">
        <f>J32</f>
        <v>1000</v>
      </c>
      <c r="K41" s="119" t="s">
        <v>24</v>
      </c>
      <c r="L41" s="120">
        <f t="shared" si="5"/>
        <v>0.18679053333333334</v>
      </c>
      <c r="M41" s="121">
        <f t="shared" si="8"/>
        <v>813.20946666666669</v>
      </c>
    </row>
    <row r="42" spans="2:13" x14ac:dyDescent="0.2">
      <c r="B42" s="113">
        <v>330</v>
      </c>
      <c r="C42" s="113">
        <f>AVERAGE(B32:B42)</f>
        <v>180</v>
      </c>
      <c r="D42" s="134">
        <f t="shared" si="9"/>
        <v>0.17840333333333336</v>
      </c>
      <c r="E42" s="124">
        <f t="shared" si="6"/>
        <v>0.20174053333333336</v>
      </c>
      <c r="F42" s="124">
        <f>K29</f>
        <v>2.3337200000000002E-2</v>
      </c>
      <c r="G42" s="135">
        <f t="shared" si="7"/>
        <v>798.25946666666664</v>
      </c>
      <c r="J42" s="126">
        <f>J32</f>
        <v>1000</v>
      </c>
      <c r="K42" s="127" t="s">
        <v>25</v>
      </c>
      <c r="L42" s="128">
        <f t="shared" si="5"/>
        <v>0.20174053333333336</v>
      </c>
      <c r="M42" s="126">
        <f t="shared" si="8"/>
        <v>798.25946666666664</v>
      </c>
    </row>
    <row r="43" spans="2:13" x14ac:dyDescent="0.2">
      <c r="B43" s="113">
        <v>360</v>
      </c>
      <c r="C43" s="113">
        <f>AVERAGE(B32:B43)</f>
        <v>195</v>
      </c>
      <c r="D43" s="134">
        <f t="shared" si="9"/>
        <v>0.19335333333333335</v>
      </c>
      <c r="E43" s="124">
        <f t="shared" si="6"/>
        <v>0.21669053333333335</v>
      </c>
      <c r="F43" s="124">
        <f>K29</f>
        <v>2.3337200000000002E-2</v>
      </c>
      <c r="G43" s="135">
        <f t="shared" si="7"/>
        <v>783.30946666666671</v>
      </c>
      <c r="J43" s="121">
        <f>J32</f>
        <v>1000</v>
      </c>
      <c r="K43" s="119" t="s">
        <v>26</v>
      </c>
      <c r="L43" s="120">
        <f t="shared" si="5"/>
        <v>0.21669053333333335</v>
      </c>
      <c r="M43" s="121">
        <f t="shared" si="8"/>
        <v>783.30946666666671</v>
      </c>
    </row>
    <row r="44" spans="2:13" x14ac:dyDescent="0.2">
      <c r="M44" s="136">
        <f>M32</f>
        <v>954.23806666666667</v>
      </c>
    </row>
    <row r="46" spans="2:13" ht="17" x14ac:dyDescent="0.2">
      <c r="C46" s="114"/>
      <c r="J46" s="194"/>
      <c r="K46" s="194"/>
      <c r="L46" s="194"/>
      <c r="M46" s="194"/>
    </row>
    <row r="47" spans="2:13" ht="17" x14ac:dyDescent="0.2">
      <c r="J47" s="115"/>
      <c r="K47" s="187">
        <f>K25</f>
        <v>2.9899999999999999E-2</v>
      </c>
      <c r="L47" s="187"/>
      <c r="M47" s="187"/>
    </row>
    <row r="48" spans="2:13" ht="17" x14ac:dyDescent="0.2">
      <c r="J48" s="115"/>
      <c r="K48" s="192">
        <f>K26</f>
        <v>1.01566E-2</v>
      </c>
      <c r="L48" s="192"/>
      <c r="M48" s="192"/>
    </row>
    <row r="49" spans="2:13" ht="17" x14ac:dyDescent="0.2">
      <c r="J49" s="115"/>
      <c r="K49" s="187">
        <f>K27</f>
        <v>1.6858599999999998E-2</v>
      </c>
      <c r="L49" s="187"/>
      <c r="M49" s="187"/>
    </row>
    <row r="50" spans="2:13" ht="17" x14ac:dyDescent="0.2">
      <c r="J50" s="115"/>
      <c r="K50" s="192">
        <f>K28</f>
        <v>2.0049999999999998E-2</v>
      </c>
      <c r="L50" s="192"/>
      <c r="M50" s="192"/>
    </row>
    <row r="51" spans="2:13" ht="17" x14ac:dyDescent="0.2">
      <c r="J51" s="116"/>
      <c r="K51" s="187">
        <f>K29</f>
        <v>2.3337200000000002E-2</v>
      </c>
      <c r="L51" s="187"/>
      <c r="M51" s="187"/>
    </row>
    <row r="52" spans="2:13" ht="17" x14ac:dyDescent="0.2">
      <c r="C52" s="113" t="s">
        <v>11</v>
      </c>
      <c r="D52" s="113" t="s">
        <v>12</v>
      </c>
      <c r="E52" s="113" t="s">
        <v>13</v>
      </c>
      <c r="F52" s="113" t="s">
        <v>14</v>
      </c>
      <c r="G52" s="113" t="s">
        <v>15</v>
      </c>
      <c r="J52" s="117"/>
      <c r="K52" s="115"/>
      <c r="L52" s="115"/>
      <c r="M52" s="115"/>
    </row>
    <row r="53" spans="2:13" ht="17" x14ac:dyDescent="0.2">
      <c r="J53" s="118">
        <f>'Simulador Eco Circ Verde'!C22</f>
        <v>5000</v>
      </c>
      <c r="K53" s="119"/>
      <c r="L53" s="120">
        <f>$K$26</f>
        <v>1.01566E-2</v>
      </c>
      <c r="M53" s="121">
        <f>(1-L53)*J53</f>
        <v>4949.2170000000006</v>
      </c>
    </row>
    <row r="54" spans="2:13" x14ac:dyDescent="0.2">
      <c r="B54" s="113">
        <v>30</v>
      </c>
      <c r="C54" s="113">
        <f>AVERAGE(B54)</f>
        <v>30</v>
      </c>
      <c r="D54" s="134">
        <f t="shared" ref="D54:D65" si="10">($K$47/30)*(C54-1)</f>
        <v>2.8903333333333336E-2</v>
      </c>
      <c r="E54" s="124">
        <f>D54+F54</f>
        <v>4.5761933333333338E-2</v>
      </c>
      <c r="F54" s="124">
        <f>K49</f>
        <v>1.6858599999999998E-2</v>
      </c>
      <c r="G54" s="135">
        <f>J54*(1-E54)</f>
        <v>4771.190333333333</v>
      </c>
      <c r="J54" s="126">
        <f>J53</f>
        <v>5000</v>
      </c>
      <c r="K54" s="127"/>
      <c r="L54" s="128">
        <f t="shared" ref="L54:L65" si="11">E54</f>
        <v>4.5761933333333338E-2</v>
      </c>
      <c r="M54" s="126">
        <f>G54</f>
        <v>4771.190333333333</v>
      </c>
    </row>
    <row r="55" spans="2:13" x14ac:dyDescent="0.2">
      <c r="B55" s="113">
        <v>60</v>
      </c>
      <c r="C55" s="113">
        <f>AVERAGE(B54:B55)</f>
        <v>45</v>
      </c>
      <c r="D55" s="134">
        <f t="shared" si="10"/>
        <v>4.3853333333333334E-2</v>
      </c>
      <c r="E55" s="124">
        <f>D55+F55</f>
        <v>6.390333333333334E-2</v>
      </c>
      <c r="F55" s="124">
        <f>K50</f>
        <v>2.0049999999999998E-2</v>
      </c>
      <c r="G55" s="135">
        <f>J55*(1-E55)</f>
        <v>4680.4833333333336</v>
      </c>
      <c r="J55" s="121">
        <f>J54</f>
        <v>5000</v>
      </c>
      <c r="K55" s="119">
        <v>2</v>
      </c>
      <c r="L55" s="120">
        <f t="shared" si="11"/>
        <v>6.390333333333334E-2</v>
      </c>
      <c r="M55" s="121">
        <f>G55</f>
        <v>4680.4833333333336</v>
      </c>
    </row>
    <row r="56" spans="2:13" x14ac:dyDescent="0.2">
      <c r="B56" s="113">
        <v>90</v>
      </c>
      <c r="C56" s="113">
        <f>AVERAGE(B54:B56)</f>
        <v>60</v>
      </c>
      <c r="D56" s="134">
        <f t="shared" si="10"/>
        <v>5.8803333333333339E-2</v>
      </c>
      <c r="E56" s="124">
        <f>D56+F56</f>
        <v>7.8853333333333331E-2</v>
      </c>
      <c r="F56" s="124">
        <f>K50</f>
        <v>2.0049999999999998E-2</v>
      </c>
      <c r="G56" s="135">
        <f>J56*(1-E56)</f>
        <v>4605.7333333333336</v>
      </c>
      <c r="J56" s="126">
        <f>J54</f>
        <v>5000</v>
      </c>
      <c r="K56" s="127">
        <v>3</v>
      </c>
      <c r="L56" s="128">
        <f t="shared" si="11"/>
        <v>7.8853333333333331E-2</v>
      </c>
      <c r="M56" s="126">
        <f>G56</f>
        <v>4605.7333333333336</v>
      </c>
    </row>
    <row r="57" spans="2:13" x14ac:dyDescent="0.2">
      <c r="B57" s="113">
        <v>120</v>
      </c>
      <c r="C57" s="113">
        <f>AVERAGE(B54:B57)</f>
        <v>75</v>
      </c>
      <c r="D57" s="134">
        <f t="shared" si="10"/>
        <v>7.3753333333333337E-2</v>
      </c>
      <c r="E57" s="124">
        <f t="shared" ref="E57:E65" si="12">D57+F57</f>
        <v>9.3803333333333336E-2</v>
      </c>
      <c r="F57" s="124">
        <f>K50</f>
        <v>2.0049999999999998E-2</v>
      </c>
      <c r="G57" s="135">
        <f t="shared" ref="G57:G65" si="13">J57*(1-E57)</f>
        <v>4530.9833333333336</v>
      </c>
      <c r="J57" s="121">
        <f>J54</f>
        <v>5000</v>
      </c>
      <c r="K57" s="119">
        <v>4</v>
      </c>
      <c r="L57" s="120">
        <f t="shared" si="11"/>
        <v>9.3803333333333336E-2</v>
      </c>
      <c r="M57" s="121">
        <f t="shared" ref="M57:M65" si="14">G57</f>
        <v>4530.9833333333336</v>
      </c>
    </row>
    <row r="58" spans="2:13" x14ac:dyDescent="0.2">
      <c r="B58" s="113">
        <v>150</v>
      </c>
      <c r="C58" s="113">
        <f>AVERAGE(B54:B58)</f>
        <v>90</v>
      </c>
      <c r="D58" s="134">
        <f t="shared" si="10"/>
        <v>8.8703333333333342E-2</v>
      </c>
      <c r="E58" s="124">
        <f t="shared" si="12"/>
        <v>0.10875333333333334</v>
      </c>
      <c r="F58" s="124">
        <f>K50</f>
        <v>2.0049999999999998E-2</v>
      </c>
      <c r="G58" s="135">
        <f t="shared" si="13"/>
        <v>4456.2333333333336</v>
      </c>
      <c r="J58" s="126">
        <f>J54</f>
        <v>5000</v>
      </c>
      <c r="K58" s="127">
        <v>5</v>
      </c>
      <c r="L58" s="128">
        <f t="shared" si="11"/>
        <v>0.10875333333333334</v>
      </c>
      <c r="M58" s="126">
        <f t="shared" si="14"/>
        <v>4456.2333333333336</v>
      </c>
    </row>
    <row r="59" spans="2:13" x14ac:dyDescent="0.2">
      <c r="B59" s="113">
        <v>180</v>
      </c>
      <c r="C59" s="113">
        <f>AVERAGE(B54:B59)</f>
        <v>105</v>
      </c>
      <c r="D59" s="134">
        <f t="shared" si="10"/>
        <v>0.10365333333333335</v>
      </c>
      <c r="E59" s="124">
        <f t="shared" si="12"/>
        <v>0.12370333333333335</v>
      </c>
      <c r="F59" s="124">
        <f>K50</f>
        <v>2.0049999999999998E-2</v>
      </c>
      <c r="G59" s="135">
        <f t="shared" si="13"/>
        <v>4381.4833333333327</v>
      </c>
      <c r="J59" s="121">
        <f>J54</f>
        <v>5000</v>
      </c>
      <c r="K59" s="119">
        <v>6</v>
      </c>
      <c r="L59" s="120">
        <f t="shared" si="11"/>
        <v>0.12370333333333335</v>
      </c>
      <c r="M59" s="121">
        <f t="shared" si="14"/>
        <v>4381.4833333333327</v>
      </c>
    </row>
    <row r="60" spans="2:13" x14ac:dyDescent="0.2">
      <c r="B60" s="113">
        <v>210</v>
      </c>
      <c r="C60" s="113">
        <f>AVERAGE(B54:B60)</f>
        <v>120</v>
      </c>
      <c r="D60" s="134">
        <f t="shared" si="10"/>
        <v>0.11860333333333334</v>
      </c>
      <c r="E60" s="124">
        <f t="shared" si="12"/>
        <v>0.14194053333333334</v>
      </c>
      <c r="F60" s="124">
        <f>K51</f>
        <v>2.3337200000000002E-2</v>
      </c>
      <c r="G60" s="135">
        <f t="shared" si="13"/>
        <v>4290.297333333333</v>
      </c>
      <c r="J60" s="126">
        <f>J54</f>
        <v>5000</v>
      </c>
      <c r="K60" s="127">
        <v>7</v>
      </c>
      <c r="L60" s="128">
        <f t="shared" si="11"/>
        <v>0.14194053333333334</v>
      </c>
      <c r="M60" s="126">
        <f t="shared" si="14"/>
        <v>4290.297333333333</v>
      </c>
    </row>
    <row r="61" spans="2:13" x14ac:dyDescent="0.2">
      <c r="B61" s="113">
        <v>240</v>
      </c>
      <c r="C61" s="113">
        <f>AVERAGE(B54:B61)</f>
        <v>135</v>
      </c>
      <c r="D61" s="134">
        <f t="shared" si="10"/>
        <v>0.13355333333333336</v>
      </c>
      <c r="E61" s="124">
        <f t="shared" si="12"/>
        <v>0.15689053333333336</v>
      </c>
      <c r="F61" s="124">
        <f>K51</f>
        <v>2.3337200000000002E-2</v>
      </c>
      <c r="G61" s="135">
        <f t="shared" si="13"/>
        <v>4215.547333333333</v>
      </c>
      <c r="J61" s="121">
        <f>J54</f>
        <v>5000</v>
      </c>
      <c r="K61" s="119">
        <v>8</v>
      </c>
      <c r="L61" s="120">
        <f t="shared" si="11"/>
        <v>0.15689053333333336</v>
      </c>
      <c r="M61" s="121">
        <f t="shared" si="14"/>
        <v>4215.547333333333</v>
      </c>
    </row>
    <row r="62" spans="2:13" x14ac:dyDescent="0.2">
      <c r="B62" s="113">
        <v>270</v>
      </c>
      <c r="C62" s="113">
        <f>AVERAGE(B54:B62)</f>
        <v>150</v>
      </c>
      <c r="D62" s="134">
        <f t="shared" si="10"/>
        <v>0.14850333333333335</v>
      </c>
      <c r="E62" s="124">
        <f t="shared" si="12"/>
        <v>0.17184053333333335</v>
      </c>
      <c r="F62" s="124">
        <f>K51</f>
        <v>2.3337200000000002E-2</v>
      </c>
      <c r="G62" s="135">
        <f t="shared" si="13"/>
        <v>4140.797333333333</v>
      </c>
      <c r="J62" s="126">
        <f>J54</f>
        <v>5000</v>
      </c>
      <c r="K62" s="127">
        <v>9</v>
      </c>
      <c r="L62" s="128">
        <f t="shared" si="11"/>
        <v>0.17184053333333335</v>
      </c>
      <c r="M62" s="126">
        <f t="shared" si="14"/>
        <v>4140.797333333333</v>
      </c>
    </row>
    <row r="63" spans="2:13" x14ac:dyDescent="0.2">
      <c r="B63" s="113">
        <v>300</v>
      </c>
      <c r="C63" s="113">
        <f>AVERAGE(B54:B63)</f>
        <v>165</v>
      </c>
      <c r="D63" s="134">
        <f t="shared" si="10"/>
        <v>0.16345333333333334</v>
      </c>
      <c r="E63" s="124">
        <f t="shared" si="12"/>
        <v>0.18679053333333334</v>
      </c>
      <c r="F63" s="124">
        <f>K51</f>
        <v>2.3337200000000002E-2</v>
      </c>
      <c r="G63" s="135">
        <f t="shared" si="13"/>
        <v>4066.0473333333334</v>
      </c>
      <c r="J63" s="121">
        <f>J54</f>
        <v>5000</v>
      </c>
      <c r="K63" s="119">
        <v>10</v>
      </c>
      <c r="L63" s="120">
        <f t="shared" si="11"/>
        <v>0.18679053333333334</v>
      </c>
      <c r="M63" s="121">
        <f t="shared" si="14"/>
        <v>4066.0473333333334</v>
      </c>
    </row>
    <row r="64" spans="2:13" x14ac:dyDescent="0.2">
      <c r="B64" s="113">
        <v>330</v>
      </c>
      <c r="C64" s="113">
        <f>AVERAGE(B54:B64)</f>
        <v>180</v>
      </c>
      <c r="D64" s="134">
        <f t="shared" si="10"/>
        <v>0.17840333333333336</v>
      </c>
      <c r="E64" s="124">
        <f t="shared" si="12"/>
        <v>0.20174053333333336</v>
      </c>
      <c r="F64" s="124">
        <f>K51</f>
        <v>2.3337200000000002E-2</v>
      </c>
      <c r="G64" s="135">
        <f t="shared" si="13"/>
        <v>3991.2973333333334</v>
      </c>
      <c r="J64" s="126">
        <f>J54</f>
        <v>5000</v>
      </c>
      <c r="K64" s="127">
        <v>11</v>
      </c>
      <c r="L64" s="128">
        <f t="shared" si="11"/>
        <v>0.20174053333333336</v>
      </c>
      <c r="M64" s="126">
        <f t="shared" si="14"/>
        <v>3991.2973333333334</v>
      </c>
    </row>
    <row r="65" spans="2:13" x14ac:dyDescent="0.2">
      <c r="B65" s="113">
        <v>360</v>
      </c>
      <c r="C65" s="113">
        <f>AVERAGE(B54:B65)</f>
        <v>195</v>
      </c>
      <c r="D65" s="134">
        <f t="shared" si="10"/>
        <v>0.19335333333333335</v>
      </c>
      <c r="E65" s="124">
        <f t="shared" si="12"/>
        <v>0.21669053333333335</v>
      </c>
      <c r="F65" s="124">
        <f>K51</f>
        <v>2.3337200000000002E-2</v>
      </c>
      <c r="G65" s="135">
        <f t="shared" si="13"/>
        <v>3916.5473333333334</v>
      </c>
      <c r="J65" s="121">
        <f>J54</f>
        <v>5000</v>
      </c>
      <c r="K65" s="119">
        <v>12</v>
      </c>
      <c r="L65" s="120">
        <f t="shared" si="11"/>
        <v>0.21669053333333335</v>
      </c>
      <c r="M65" s="121">
        <f t="shared" si="14"/>
        <v>3916.5473333333334</v>
      </c>
    </row>
    <row r="66" spans="2:13" x14ac:dyDescent="0.2">
      <c r="M66" s="136">
        <f>VLOOKUP('Simulador Eco Circ Verde'!E22,Antecipação!$K$55:$M$59,3,0)</f>
        <v>4680.4833333333336</v>
      </c>
    </row>
    <row r="67" spans="2:13" x14ac:dyDescent="0.2">
      <c r="M67" s="136"/>
    </row>
    <row r="68" spans="2:13" ht="17" x14ac:dyDescent="0.2">
      <c r="C68" s="114"/>
      <c r="J68" s="194"/>
      <c r="K68" s="194"/>
      <c r="L68" s="194"/>
      <c r="M68" s="194"/>
    </row>
    <row r="69" spans="2:13" ht="17" x14ac:dyDescent="0.2">
      <c r="J69" s="115"/>
      <c r="K69" s="187">
        <f>K25</f>
        <v>2.9899999999999999E-2</v>
      </c>
      <c r="L69" s="187"/>
      <c r="M69" s="187"/>
    </row>
    <row r="70" spans="2:13" ht="17" x14ac:dyDescent="0.2">
      <c r="J70" s="115"/>
      <c r="K70" s="192">
        <f>K26</f>
        <v>1.01566E-2</v>
      </c>
      <c r="L70" s="192"/>
      <c r="M70" s="192"/>
    </row>
    <row r="71" spans="2:13" ht="17" x14ac:dyDescent="0.2">
      <c r="J71" s="115"/>
      <c r="K71" s="187">
        <f>K27</f>
        <v>1.6858599999999998E-2</v>
      </c>
      <c r="L71" s="187"/>
      <c r="M71" s="187"/>
    </row>
    <row r="72" spans="2:13" ht="17" x14ac:dyDescent="0.2">
      <c r="J72" s="115"/>
      <c r="K72" s="192">
        <f>K28</f>
        <v>2.0049999999999998E-2</v>
      </c>
      <c r="L72" s="192"/>
      <c r="M72" s="192"/>
    </row>
    <row r="73" spans="2:13" ht="17" x14ac:dyDescent="0.2">
      <c r="J73" s="116"/>
      <c r="K73" s="187">
        <f>K29</f>
        <v>2.3337200000000002E-2</v>
      </c>
      <c r="L73" s="187"/>
      <c r="M73" s="187"/>
    </row>
    <row r="74" spans="2:13" ht="17" x14ac:dyDescent="0.2">
      <c r="J74" s="117"/>
      <c r="K74" s="115"/>
      <c r="L74" s="115"/>
      <c r="M74" s="115"/>
    </row>
    <row r="75" spans="2:13" ht="17" x14ac:dyDescent="0.2">
      <c r="J75" s="118">
        <f>'Simulador Eco Circ Verde'!C23</f>
        <v>20000</v>
      </c>
      <c r="K75" s="119"/>
      <c r="L75" s="120">
        <f>$K$26</f>
        <v>1.01566E-2</v>
      </c>
      <c r="M75" s="121">
        <f>(1-L75)*J75</f>
        <v>19796.868000000002</v>
      </c>
    </row>
    <row r="76" spans="2:13" x14ac:dyDescent="0.2">
      <c r="B76" s="113">
        <v>30</v>
      </c>
      <c r="C76" s="113">
        <f>AVERAGE(B76)</f>
        <v>30</v>
      </c>
      <c r="D76" s="134">
        <f>($K$69/30)*(C76-1)</f>
        <v>2.8903333333333336E-2</v>
      </c>
      <c r="E76" s="124">
        <f>D76+F76</f>
        <v>4.5761933333333338E-2</v>
      </c>
      <c r="F76" s="124">
        <f>K71</f>
        <v>1.6858599999999998E-2</v>
      </c>
      <c r="G76" s="135">
        <f>J76*(1-E76)</f>
        <v>19084.761333333332</v>
      </c>
      <c r="J76" s="126">
        <f>J75</f>
        <v>20000</v>
      </c>
      <c r="K76" s="127"/>
      <c r="L76" s="128">
        <f t="shared" ref="L76:L87" si="15">E76</f>
        <v>4.5761933333333338E-2</v>
      </c>
      <c r="M76" s="126">
        <f>G76</f>
        <v>19084.761333333332</v>
      </c>
    </row>
    <row r="77" spans="2:13" x14ac:dyDescent="0.2">
      <c r="B77" s="113">
        <v>60</v>
      </c>
      <c r="C77" s="113">
        <f>AVERAGE(B76:B77)</f>
        <v>45</v>
      </c>
      <c r="D77" s="134">
        <f t="shared" ref="D77:D87" si="16">($K$69/30)*(C77-1)</f>
        <v>4.3853333333333334E-2</v>
      </c>
      <c r="E77" s="124">
        <f>D77+F77</f>
        <v>6.390333333333334E-2</v>
      </c>
      <c r="F77" s="124">
        <f>K72</f>
        <v>2.0049999999999998E-2</v>
      </c>
      <c r="G77" s="135">
        <f>J77*(1-E77)</f>
        <v>18721.933333333334</v>
      </c>
      <c r="J77" s="121">
        <f>J76</f>
        <v>20000</v>
      </c>
      <c r="K77" s="119">
        <v>2</v>
      </c>
      <c r="L77" s="120">
        <f t="shared" si="15"/>
        <v>6.390333333333334E-2</v>
      </c>
      <c r="M77" s="121">
        <f>G77</f>
        <v>18721.933333333334</v>
      </c>
    </row>
    <row r="78" spans="2:13" x14ac:dyDescent="0.2">
      <c r="B78" s="113">
        <v>90</v>
      </c>
      <c r="C78" s="113">
        <f>AVERAGE(B76:B78)</f>
        <v>60</v>
      </c>
      <c r="D78" s="134">
        <f t="shared" si="16"/>
        <v>5.8803333333333339E-2</v>
      </c>
      <c r="E78" s="124">
        <f>D78+F78</f>
        <v>7.8853333333333331E-2</v>
      </c>
      <c r="F78" s="124">
        <f>K72</f>
        <v>2.0049999999999998E-2</v>
      </c>
      <c r="G78" s="135">
        <f>J78*(1-E78)</f>
        <v>18422.933333333334</v>
      </c>
      <c r="J78" s="126">
        <f>J76</f>
        <v>20000</v>
      </c>
      <c r="K78" s="127">
        <v>3</v>
      </c>
      <c r="L78" s="128">
        <f t="shared" si="15"/>
        <v>7.8853333333333331E-2</v>
      </c>
      <c r="M78" s="126">
        <f>G78</f>
        <v>18422.933333333334</v>
      </c>
    </row>
    <row r="79" spans="2:13" x14ac:dyDescent="0.2">
      <c r="B79" s="113">
        <v>120</v>
      </c>
      <c r="C79" s="113">
        <f>AVERAGE(B76:B79)</f>
        <v>75</v>
      </c>
      <c r="D79" s="134">
        <f t="shared" si="16"/>
        <v>7.3753333333333337E-2</v>
      </c>
      <c r="E79" s="124">
        <f t="shared" ref="E79:E87" si="17">D79+F79</f>
        <v>9.3803333333333336E-2</v>
      </c>
      <c r="F79" s="124">
        <f>K72</f>
        <v>2.0049999999999998E-2</v>
      </c>
      <c r="G79" s="135">
        <f t="shared" ref="G79:G87" si="18">J79*(1-E79)</f>
        <v>18123.933333333334</v>
      </c>
      <c r="J79" s="121">
        <f>J76</f>
        <v>20000</v>
      </c>
      <c r="K79" s="119">
        <v>4</v>
      </c>
      <c r="L79" s="120">
        <f t="shared" si="15"/>
        <v>9.3803333333333336E-2</v>
      </c>
      <c r="M79" s="121">
        <f t="shared" ref="M79:M87" si="19">G79</f>
        <v>18123.933333333334</v>
      </c>
    </row>
    <row r="80" spans="2:13" x14ac:dyDescent="0.2">
      <c r="B80" s="113">
        <v>150</v>
      </c>
      <c r="C80" s="113">
        <f>AVERAGE(B76:B80)</f>
        <v>90</v>
      </c>
      <c r="D80" s="134">
        <f t="shared" si="16"/>
        <v>8.8703333333333342E-2</v>
      </c>
      <c r="E80" s="124">
        <f t="shared" si="17"/>
        <v>0.10875333333333334</v>
      </c>
      <c r="F80" s="124">
        <f>K72</f>
        <v>2.0049999999999998E-2</v>
      </c>
      <c r="G80" s="135">
        <f t="shared" si="18"/>
        <v>17824.933333333334</v>
      </c>
      <c r="J80" s="126">
        <f>J76</f>
        <v>20000</v>
      </c>
      <c r="K80" s="127">
        <v>5</v>
      </c>
      <c r="L80" s="128">
        <f t="shared" si="15"/>
        <v>0.10875333333333334</v>
      </c>
      <c r="M80" s="126">
        <f t="shared" si="19"/>
        <v>17824.933333333334</v>
      </c>
    </row>
    <row r="81" spans="2:13" x14ac:dyDescent="0.2">
      <c r="B81" s="113">
        <v>180</v>
      </c>
      <c r="C81" s="113">
        <f>AVERAGE(B76:B81)</f>
        <v>105</v>
      </c>
      <c r="D81" s="134">
        <f t="shared" si="16"/>
        <v>0.10365333333333335</v>
      </c>
      <c r="E81" s="124">
        <f t="shared" si="17"/>
        <v>0.12370333333333335</v>
      </c>
      <c r="F81" s="124">
        <f>K72</f>
        <v>2.0049999999999998E-2</v>
      </c>
      <c r="G81" s="135">
        <f t="shared" si="18"/>
        <v>17525.933333333331</v>
      </c>
      <c r="J81" s="121">
        <f>J76</f>
        <v>20000</v>
      </c>
      <c r="K81" s="119">
        <v>6</v>
      </c>
      <c r="L81" s="120">
        <f t="shared" si="15"/>
        <v>0.12370333333333335</v>
      </c>
      <c r="M81" s="121">
        <f t="shared" si="19"/>
        <v>17525.933333333331</v>
      </c>
    </row>
    <row r="82" spans="2:13" x14ac:dyDescent="0.2">
      <c r="B82" s="113">
        <v>210</v>
      </c>
      <c r="C82" s="113">
        <f>AVERAGE(B76:B82)</f>
        <v>120</v>
      </c>
      <c r="D82" s="134">
        <f t="shared" si="16"/>
        <v>0.11860333333333334</v>
      </c>
      <c r="E82" s="124">
        <f t="shared" si="17"/>
        <v>0.14194053333333334</v>
      </c>
      <c r="F82" s="124">
        <f>K73</f>
        <v>2.3337200000000002E-2</v>
      </c>
      <c r="G82" s="135">
        <f t="shared" si="18"/>
        <v>17161.189333333332</v>
      </c>
      <c r="J82" s="126">
        <f>J76</f>
        <v>20000</v>
      </c>
      <c r="K82" s="127">
        <v>7</v>
      </c>
      <c r="L82" s="128">
        <f t="shared" si="15"/>
        <v>0.14194053333333334</v>
      </c>
      <c r="M82" s="126">
        <f t="shared" si="19"/>
        <v>17161.189333333332</v>
      </c>
    </row>
    <row r="83" spans="2:13" x14ac:dyDescent="0.2">
      <c r="B83" s="113">
        <v>240</v>
      </c>
      <c r="C83" s="113">
        <f>AVERAGE(B76:B83)</f>
        <v>135</v>
      </c>
      <c r="D83" s="134">
        <f t="shared" si="16"/>
        <v>0.13355333333333336</v>
      </c>
      <c r="E83" s="124">
        <f t="shared" si="17"/>
        <v>0.15689053333333336</v>
      </c>
      <c r="F83" s="124">
        <f>K73</f>
        <v>2.3337200000000002E-2</v>
      </c>
      <c r="G83" s="135">
        <f t="shared" si="18"/>
        <v>16862.189333333332</v>
      </c>
      <c r="J83" s="121">
        <f>J76</f>
        <v>20000</v>
      </c>
      <c r="K83" s="119">
        <v>8</v>
      </c>
      <c r="L83" s="120">
        <f t="shared" si="15"/>
        <v>0.15689053333333336</v>
      </c>
      <c r="M83" s="121">
        <f t="shared" si="19"/>
        <v>16862.189333333332</v>
      </c>
    </row>
    <row r="84" spans="2:13" x14ac:dyDescent="0.2">
      <c r="B84" s="113">
        <v>270</v>
      </c>
      <c r="C84" s="113">
        <f>AVERAGE(B76:B84)</f>
        <v>150</v>
      </c>
      <c r="D84" s="134">
        <f t="shared" si="16"/>
        <v>0.14850333333333335</v>
      </c>
      <c r="E84" s="124">
        <f t="shared" si="17"/>
        <v>0.17184053333333335</v>
      </c>
      <c r="F84" s="124">
        <f>K73</f>
        <v>2.3337200000000002E-2</v>
      </c>
      <c r="G84" s="135">
        <f t="shared" si="18"/>
        <v>16563.189333333332</v>
      </c>
      <c r="J84" s="126">
        <f>J76</f>
        <v>20000</v>
      </c>
      <c r="K84" s="127">
        <v>9</v>
      </c>
      <c r="L84" s="128">
        <f t="shared" si="15"/>
        <v>0.17184053333333335</v>
      </c>
      <c r="M84" s="126">
        <f t="shared" si="19"/>
        <v>16563.189333333332</v>
      </c>
    </row>
    <row r="85" spans="2:13" x14ac:dyDescent="0.2">
      <c r="B85" s="113">
        <v>300</v>
      </c>
      <c r="C85" s="113">
        <f>AVERAGE(B76:B85)</f>
        <v>165</v>
      </c>
      <c r="D85" s="134">
        <f t="shared" si="16"/>
        <v>0.16345333333333334</v>
      </c>
      <c r="E85" s="124">
        <f t="shared" si="17"/>
        <v>0.18679053333333334</v>
      </c>
      <c r="F85" s="124">
        <f>K73</f>
        <v>2.3337200000000002E-2</v>
      </c>
      <c r="G85" s="135">
        <f t="shared" si="18"/>
        <v>16264.189333333334</v>
      </c>
      <c r="J85" s="121">
        <f>J76</f>
        <v>20000</v>
      </c>
      <c r="K85" s="119">
        <v>10</v>
      </c>
      <c r="L85" s="120">
        <f t="shared" si="15"/>
        <v>0.18679053333333334</v>
      </c>
      <c r="M85" s="121">
        <f t="shared" si="19"/>
        <v>16264.189333333334</v>
      </c>
    </row>
    <row r="86" spans="2:13" x14ac:dyDescent="0.2">
      <c r="B86" s="113">
        <v>330</v>
      </c>
      <c r="C86" s="113">
        <f>AVERAGE(B76:B86)</f>
        <v>180</v>
      </c>
      <c r="D86" s="134">
        <f t="shared" si="16"/>
        <v>0.17840333333333336</v>
      </c>
      <c r="E86" s="124">
        <f t="shared" si="17"/>
        <v>0.20174053333333336</v>
      </c>
      <c r="F86" s="124">
        <f>K73</f>
        <v>2.3337200000000002E-2</v>
      </c>
      <c r="G86" s="135">
        <f t="shared" si="18"/>
        <v>15965.189333333334</v>
      </c>
      <c r="J86" s="126">
        <f>J76</f>
        <v>20000</v>
      </c>
      <c r="K86" s="127">
        <v>11</v>
      </c>
      <c r="L86" s="128">
        <f t="shared" si="15"/>
        <v>0.20174053333333336</v>
      </c>
      <c r="M86" s="126">
        <f t="shared" si="19"/>
        <v>15965.189333333334</v>
      </c>
    </row>
    <row r="87" spans="2:13" x14ac:dyDescent="0.2">
      <c r="B87" s="113">
        <v>360</v>
      </c>
      <c r="C87" s="113">
        <f>AVERAGE(B76:B87)</f>
        <v>195</v>
      </c>
      <c r="D87" s="134">
        <f t="shared" si="16"/>
        <v>0.19335333333333335</v>
      </c>
      <c r="E87" s="124">
        <f t="shared" si="17"/>
        <v>0.21669053333333335</v>
      </c>
      <c r="F87" s="124">
        <f>K73</f>
        <v>2.3337200000000002E-2</v>
      </c>
      <c r="G87" s="135">
        <f t="shared" si="18"/>
        <v>15666.189333333334</v>
      </c>
      <c r="J87" s="121">
        <f>J76</f>
        <v>20000</v>
      </c>
      <c r="K87" s="119">
        <v>12</v>
      </c>
      <c r="L87" s="120">
        <f t="shared" si="15"/>
        <v>0.21669053333333335</v>
      </c>
      <c r="M87" s="121">
        <f t="shared" si="19"/>
        <v>15666.189333333334</v>
      </c>
    </row>
    <row r="88" spans="2:13" x14ac:dyDescent="0.2">
      <c r="M88" s="136">
        <f>VLOOKUP('Simulador Eco Circ Verde'!E23,Antecipação!$K$82:$M$87,3,0)</f>
        <v>17161.189333333332</v>
      </c>
    </row>
    <row r="91" spans="2:13" x14ac:dyDescent="0.2">
      <c r="M91" s="137">
        <f>M88+M66+M44+M22</f>
        <v>22795.91073333333</v>
      </c>
    </row>
  </sheetData>
  <sheetProtection selectLockedCells="1"/>
  <mergeCells count="24">
    <mergeCell ref="K29:M29"/>
    <mergeCell ref="J24:M24"/>
    <mergeCell ref="K25:M25"/>
    <mergeCell ref="K26:M26"/>
    <mergeCell ref="K27:M27"/>
    <mergeCell ref="K28:M28"/>
    <mergeCell ref="K71:M71"/>
    <mergeCell ref="K72:M72"/>
    <mergeCell ref="K73:M73"/>
    <mergeCell ref="J46:M46"/>
    <mergeCell ref="K47:M47"/>
    <mergeCell ref="K48:M48"/>
    <mergeCell ref="J68:M68"/>
    <mergeCell ref="K69:M69"/>
    <mergeCell ref="K70:M70"/>
    <mergeCell ref="K49:M49"/>
    <mergeCell ref="K50:M50"/>
    <mergeCell ref="K51:M51"/>
    <mergeCell ref="K7:M7"/>
    <mergeCell ref="J2:M2"/>
    <mergeCell ref="K3:M3"/>
    <mergeCell ref="K4:M4"/>
    <mergeCell ref="K5:M5"/>
    <mergeCell ref="K6:M6"/>
  </mergeCells>
  <printOptions horizontalCentered="1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E7"/>
  <sheetViews>
    <sheetView showGridLines="0" zoomScale="110" zoomScaleNormal="110" workbookViewId="0">
      <selection activeCell="E20" sqref="E20"/>
    </sheetView>
  </sheetViews>
  <sheetFormatPr baseColWidth="10" defaultColWidth="10.6640625" defaultRowHeight="15" x14ac:dyDescent="0.2"/>
  <cols>
    <col min="1" max="1" width="2.5" customWidth="1"/>
    <col min="2" max="2" width="28.6640625" bestFit="1" customWidth="1"/>
    <col min="3" max="4" width="11.5" customWidth="1"/>
    <col min="5" max="5" width="2.5" customWidth="1"/>
  </cols>
  <sheetData>
    <row r="1" spans="2:5" ht="16" thickBot="1" x14ac:dyDescent="0.25"/>
    <row r="2" spans="2:5" ht="21" customHeight="1" x14ac:dyDescent="0.2">
      <c r="B2" s="107" t="s">
        <v>90</v>
      </c>
      <c r="C2" s="108" t="s">
        <v>68</v>
      </c>
      <c r="D2" s="109" t="s">
        <v>91</v>
      </c>
    </row>
    <row r="3" spans="2:5" x14ac:dyDescent="0.2">
      <c r="B3" s="1" t="s">
        <v>72</v>
      </c>
      <c r="C3" s="105">
        <v>0.03</v>
      </c>
      <c r="D3" s="106" t="s">
        <v>7</v>
      </c>
    </row>
    <row r="4" spans="2:5" x14ac:dyDescent="0.2">
      <c r="B4" s="1" t="s">
        <v>44</v>
      </c>
      <c r="C4" s="103">
        <v>3</v>
      </c>
      <c r="D4" s="3">
        <v>0.89999999999999991</v>
      </c>
      <c r="E4" s="4"/>
    </row>
    <row r="5" spans="2:5" x14ac:dyDescent="0.2">
      <c r="B5" s="1" t="s">
        <v>45</v>
      </c>
      <c r="C5" s="103">
        <v>3</v>
      </c>
      <c r="D5" s="3">
        <v>0.89999999999999991</v>
      </c>
      <c r="E5" s="4"/>
    </row>
    <row r="6" spans="2:5" x14ac:dyDescent="0.2">
      <c r="B6" s="1" t="s">
        <v>0</v>
      </c>
      <c r="C6" s="103">
        <v>5.9</v>
      </c>
      <c r="D6" s="3">
        <v>1.77</v>
      </c>
      <c r="E6" s="4"/>
    </row>
    <row r="7" spans="2:5" ht="16" thickBot="1" x14ac:dyDescent="0.25">
      <c r="B7" s="2" t="s">
        <v>3</v>
      </c>
      <c r="C7" s="104">
        <v>9</v>
      </c>
      <c r="D7" s="46">
        <v>2.6999999999999997</v>
      </c>
      <c r="E7" s="4"/>
    </row>
  </sheetData>
  <pageMargins left="0.7" right="0.7" top="0.75" bottom="0.75" header="0.3" footer="0.3"/>
  <pageSetup scale="73" fitToHeight="0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7436-3347-42C7-84C9-B592F61D69B2}">
  <dimension ref="A1:N60"/>
  <sheetViews>
    <sheetView showGridLines="0" workbookViewId="0">
      <selection activeCell="E20" sqref="E20"/>
    </sheetView>
  </sheetViews>
  <sheetFormatPr baseColWidth="10" defaultColWidth="8.83203125" defaultRowHeight="15" x14ac:dyDescent="0.2"/>
  <cols>
    <col min="1" max="1" width="147.5" customWidth="1"/>
    <col min="2" max="2" width="13.5" bestFit="1" customWidth="1"/>
  </cols>
  <sheetData>
    <row r="1" spans="1:14" x14ac:dyDescent="0.2">
      <c r="A1" s="19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2">
      <c r="A2" t="s">
        <v>7</v>
      </c>
      <c r="B2" s="17"/>
      <c r="C2" s="17">
        <v>9.8649999999999988E-3</v>
      </c>
      <c r="D2" s="17">
        <v>1.3377E-2</v>
      </c>
      <c r="E2" s="17">
        <v>1.6077000000000001E-2</v>
      </c>
      <c r="F2" s="17">
        <v>2.1127E-2</v>
      </c>
      <c r="G2" s="17">
        <v>1.3125000000000001E-2</v>
      </c>
      <c r="H2" s="17">
        <v>1.7125000000000001E-2</v>
      </c>
      <c r="I2" s="17">
        <v>1.0135000000000002E-2</v>
      </c>
      <c r="J2" s="32">
        <v>0</v>
      </c>
      <c r="K2" s="18">
        <v>1.26526E-2</v>
      </c>
      <c r="L2" s="18">
        <v>1.70726E-2</v>
      </c>
      <c r="M2" s="18">
        <v>9.7785999999999984E-3</v>
      </c>
      <c r="N2" s="18">
        <v>7.6077999999999996E-3</v>
      </c>
    </row>
    <row r="3" spans="1:14" x14ac:dyDescent="0.2">
      <c r="A3" t="s">
        <v>7</v>
      </c>
      <c r="B3" s="17"/>
      <c r="C3" s="17">
        <v>9.8649999999999988E-3</v>
      </c>
      <c r="D3" s="17">
        <v>1.3377E-2</v>
      </c>
      <c r="E3" s="17">
        <v>1.6077000000000001E-2</v>
      </c>
      <c r="F3" s="17">
        <v>2.1127E-2</v>
      </c>
      <c r="G3" s="17">
        <v>2.4125000000000001E-2</v>
      </c>
      <c r="H3" s="17">
        <v>2.7125000000000003E-2</v>
      </c>
      <c r="I3" s="17">
        <v>9.9249999999999998E-3</v>
      </c>
      <c r="J3" s="32">
        <v>0</v>
      </c>
      <c r="K3" s="18">
        <v>1.7812599999999998E-2</v>
      </c>
      <c r="L3" s="18">
        <v>2.15126E-2</v>
      </c>
      <c r="M3" s="18">
        <v>8.2126000000000005E-3</v>
      </c>
      <c r="N3" s="18">
        <v>5.7958000000000003E-3</v>
      </c>
    </row>
    <row r="4" spans="1:14" x14ac:dyDescent="0.2">
      <c r="A4" t="s">
        <v>7</v>
      </c>
      <c r="B4" s="17"/>
      <c r="C4" s="17">
        <v>9.8649999999999988E-3</v>
      </c>
      <c r="D4" s="17">
        <v>1.3377E-2</v>
      </c>
      <c r="E4" s="17">
        <v>1.6077000000000001E-2</v>
      </c>
      <c r="F4" s="17">
        <v>2.1127000000000003E-2</v>
      </c>
      <c r="G4" s="17">
        <v>2.5625000000000005E-2</v>
      </c>
      <c r="H4" s="17">
        <v>2.8624999999999987E-2</v>
      </c>
      <c r="I4" s="17">
        <v>1.7125000000000001E-2</v>
      </c>
      <c r="J4" s="32">
        <v>0</v>
      </c>
      <c r="K4" s="18">
        <v>1.2652599999999998E-2</v>
      </c>
      <c r="L4" s="18">
        <v>1.70726E-2</v>
      </c>
      <c r="M4" s="18">
        <v>9.7785999999999984E-3</v>
      </c>
      <c r="N4" s="18">
        <v>7.6494000000000006E-3</v>
      </c>
    </row>
    <row r="5" spans="1:14" x14ac:dyDescent="0.2">
      <c r="A5" t="s">
        <v>7</v>
      </c>
      <c r="B5" s="17"/>
      <c r="C5" s="17">
        <v>9.8649999999999988E-3</v>
      </c>
      <c r="D5" s="17">
        <v>1.3377E-2</v>
      </c>
      <c r="E5" s="17">
        <v>1.6077000000000001E-2</v>
      </c>
      <c r="F5" s="17">
        <v>2.1127E-2</v>
      </c>
      <c r="G5" s="17">
        <v>2.5625000000000002E-2</v>
      </c>
      <c r="H5" s="17">
        <v>2.8624999999999991E-2</v>
      </c>
      <c r="I5" s="17">
        <v>1.7125000000000001E-2</v>
      </c>
      <c r="J5" s="32">
        <v>0</v>
      </c>
      <c r="K5" s="18">
        <v>1.6292600000000001E-2</v>
      </c>
      <c r="L5" s="18">
        <v>2.0712600000000001E-2</v>
      </c>
      <c r="M5" s="18">
        <v>1.3418599999999999E-2</v>
      </c>
      <c r="N5" s="18">
        <v>8.7098000000000002E-3</v>
      </c>
    </row>
    <row r="6" spans="1:14" x14ac:dyDescent="0.2">
      <c r="A6" t="s">
        <v>7</v>
      </c>
      <c r="B6" s="17"/>
      <c r="C6" s="17">
        <v>9.8649999999999988E-3</v>
      </c>
      <c r="D6" s="17">
        <v>1.3377E-2</v>
      </c>
      <c r="E6" s="17">
        <v>1.6077000000000001E-2</v>
      </c>
      <c r="F6" s="17">
        <v>2.1127000000000003E-2</v>
      </c>
      <c r="G6" s="17">
        <v>2.5625000000000005E-2</v>
      </c>
      <c r="H6" s="17">
        <v>2.8624999999999987E-2</v>
      </c>
      <c r="I6" s="17">
        <v>1.7125000000000001E-2</v>
      </c>
      <c r="J6" s="32">
        <v>0</v>
      </c>
      <c r="K6" s="18">
        <v>1.7649999999999999E-2</v>
      </c>
      <c r="L6" s="18">
        <v>2.09372E-2</v>
      </c>
      <c r="M6" s="18">
        <v>1.4458599999999999E-2</v>
      </c>
      <c r="N6" s="18">
        <v>7.8574000000000005E-3</v>
      </c>
    </row>
    <row r="7" spans="1:14" x14ac:dyDescent="0.2">
      <c r="A7" t="s">
        <v>7</v>
      </c>
      <c r="B7" s="17"/>
      <c r="C7" s="17">
        <v>1.0429999999999998E-2</v>
      </c>
      <c r="D7" s="17">
        <v>1.3377E-2</v>
      </c>
      <c r="E7" s="17">
        <v>1.6077000000000001E-2</v>
      </c>
      <c r="F7" s="17">
        <v>2.1127E-2</v>
      </c>
      <c r="G7" s="17">
        <v>2.4125000000000001E-2</v>
      </c>
      <c r="H7" s="17">
        <v>2.7125000000000003E-2</v>
      </c>
      <c r="I7" s="17">
        <v>1.3025000000000002E-2</v>
      </c>
      <c r="J7" s="32">
        <v>0</v>
      </c>
      <c r="K7" s="18">
        <v>1.7812599999999998E-2</v>
      </c>
      <c r="L7" s="18">
        <v>2.15126E-2</v>
      </c>
      <c r="M7" s="18">
        <v>1.0072599999999999E-2</v>
      </c>
      <c r="N7" s="18">
        <v>6.9957999999999999E-3</v>
      </c>
    </row>
    <row r="8" spans="1:14" x14ac:dyDescent="0.2">
      <c r="A8" t="s">
        <v>7</v>
      </c>
      <c r="B8" s="17"/>
      <c r="C8" s="17">
        <v>1.2905E-2</v>
      </c>
      <c r="D8" s="17">
        <v>1.3377E-2</v>
      </c>
      <c r="E8" s="17">
        <v>1.6077000000000001E-2</v>
      </c>
      <c r="F8" s="17">
        <v>2.1127E-2</v>
      </c>
      <c r="G8" s="17">
        <v>2.5625000000000002E-2</v>
      </c>
      <c r="H8" s="17">
        <v>2.8624999999999991E-2</v>
      </c>
      <c r="I8" s="17">
        <v>1.7125000000000001E-2</v>
      </c>
      <c r="J8" s="32">
        <v>0</v>
      </c>
      <c r="K8" s="18">
        <v>1.7649999999999999E-2</v>
      </c>
      <c r="L8" s="18">
        <v>2.09372E-2</v>
      </c>
      <c r="M8" s="18">
        <v>1.4458599999999999E-2</v>
      </c>
      <c r="N8" s="18">
        <v>7.8574000000000005E-3</v>
      </c>
    </row>
    <row r="9" spans="1:14" x14ac:dyDescent="0.2">
      <c r="A9" t="s">
        <v>7</v>
      </c>
      <c r="B9" s="17"/>
      <c r="C9" s="17">
        <v>1.4394000000000001E-2</v>
      </c>
      <c r="D9" s="17">
        <v>1.3377E-2</v>
      </c>
      <c r="E9" s="17">
        <v>1.6077000000000001E-2</v>
      </c>
      <c r="F9" s="17">
        <v>2.1127E-2</v>
      </c>
      <c r="G9" s="17">
        <v>1.6125E-2</v>
      </c>
      <c r="H9" s="17">
        <v>2.3125E-2</v>
      </c>
      <c r="I9" s="17">
        <v>1.0525E-2</v>
      </c>
      <c r="J9" s="32">
        <v>0</v>
      </c>
      <c r="K9" s="18">
        <v>6.6525999999999998E-3</v>
      </c>
      <c r="L9" s="18">
        <v>8.6725999999999991E-3</v>
      </c>
      <c r="M9" s="18">
        <v>8.5725999999999997E-3</v>
      </c>
      <c r="N9" s="18">
        <v>7.6077999999999996E-3</v>
      </c>
    </row>
    <row r="10" spans="1:14" x14ac:dyDescent="0.2">
      <c r="A10" t="s">
        <v>7</v>
      </c>
      <c r="B10" s="17"/>
      <c r="C10" s="17">
        <v>1.4355E-2</v>
      </c>
      <c r="D10" s="17">
        <v>1.8917000000000003E-2</v>
      </c>
      <c r="E10" s="17">
        <v>1.9067000000000001E-2</v>
      </c>
      <c r="F10" s="17">
        <v>1.9317000000000001E-2</v>
      </c>
      <c r="G10" s="17">
        <v>1.3125000000000001E-2</v>
      </c>
      <c r="H10" s="17">
        <v>1.7125000000000001E-2</v>
      </c>
      <c r="I10" s="17">
        <v>1.0135000000000002E-2</v>
      </c>
      <c r="J10" s="32">
        <v>0</v>
      </c>
      <c r="K10" s="18">
        <v>1.4283000000000001E-2</v>
      </c>
      <c r="L10" s="18">
        <v>1.8283000000000001E-2</v>
      </c>
      <c r="M10" s="18">
        <v>1.1688999999999998E-2</v>
      </c>
      <c r="N10" s="18">
        <v>8.6989999999999984E-3</v>
      </c>
    </row>
    <row r="11" spans="1:14" x14ac:dyDescent="0.2">
      <c r="A11" t="s">
        <v>50</v>
      </c>
      <c r="B11" s="17"/>
      <c r="C11" s="17">
        <v>1.0377000000000001E-2</v>
      </c>
      <c r="D11" s="17">
        <v>1.7177000000000001E-2</v>
      </c>
      <c r="E11" s="17">
        <v>2.1092000000000003E-2</v>
      </c>
      <c r="F11" s="17">
        <v>2.6141999999999999E-2</v>
      </c>
      <c r="G11" s="17">
        <v>2.4125000000000001E-2</v>
      </c>
      <c r="H11" s="17">
        <v>2.7125000000000003E-2</v>
      </c>
      <c r="I11" s="17">
        <v>1.4124999999999999E-2</v>
      </c>
      <c r="J11" s="32">
        <v>0</v>
      </c>
      <c r="K11" s="18">
        <v>1.9656E-2</v>
      </c>
      <c r="L11" s="18">
        <v>2.2943200000000004E-2</v>
      </c>
      <c r="M11" s="18">
        <v>1.57086E-2</v>
      </c>
      <c r="N11" s="18">
        <v>6.4066000000000001E-3</v>
      </c>
    </row>
    <row r="12" spans="1:14" x14ac:dyDescent="0.2">
      <c r="A12" t="s">
        <v>51</v>
      </c>
      <c r="B12" s="17"/>
      <c r="C12" s="17">
        <v>1.0377000000000001E-2</v>
      </c>
      <c r="D12" s="17">
        <v>1.7177000000000001E-2</v>
      </c>
      <c r="E12" s="17">
        <v>2.1092000000000003E-2</v>
      </c>
      <c r="F12" s="17">
        <v>2.6141999999999999E-2</v>
      </c>
      <c r="G12" s="17">
        <v>2.5625000000000002E-2</v>
      </c>
      <c r="H12" s="17">
        <v>2.8624999999999991E-2</v>
      </c>
      <c r="I12" s="17">
        <v>1.7125000000000001E-2</v>
      </c>
      <c r="J12" s="32">
        <v>0</v>
      </c>
      <c r="K12" s="18">
        <v>1.9656E-2</v>
      </c>
      <c r="L12" s="18">
        <v>2.2943200000000004E-2</v>
      </c>
      <c r="M12" s="18">
        <v>1.5978599999999999E-2</v>
      </c>
      <c r="N12" s="18">
        <v>7.0185999999999998E-3</v>
      </c>
    </row>
    <row r="13" spans="1:14" x14ac:dyDescent="0.2">
      <c r="A13" t="s">
        <v>7</v>
      </c>
      <c r="B13" s="17"/>
      <c r="C13" s="17">
        <v>1.0377000000000001E-2</v>
      </c>
      <c r="D13" s="17">
        <v>1.7177000000000001E-2</v>
      </c>
      <c r="E13" s="17">
        <v>2.1092000000000003E-2</v>
      </c>
      <c r="F13" s="17">
        <v>2.6141999999999999E-2</v>
      </c>
      <c r="G13" s="17">
        <v>2.5625000000000002E-2</v>
      </c>
      <c r="H13" s="17">
        <v>2.8624999999999991E-2</v>
      </c>
      <c r="I13" s="17">
        <v>1.7125000000000001E-2</v>
      </c>
      <c r="J13" s="32">
        <v>0</v>
      </c>
      <c r="K13" s="18">
        <v>1.9656E-2</v>
      </c>
      <c r="L13" s="18">
        <v>2.2943200000000004E-2</v>
      </c>
      <c r="M13" s="18">
        <v>1.5978599999999999E-2</v>
      </c>
      <c r="N13" s="18">
        <v>7.8621999999999997E-3</v>
      </c>
    </row>
    <row r="14" spans="1:14" x14ac:dyDescent="0.2">
      <c r="A14" t="s">
        <v>7</v>
      </c>
      <c r="B14" s="17"/>
      <c r="C14" s="17">
        <v>1.1811000000000002E-2</v>
      </c>
      <c r="D14" s="17">
        <v>1.7177000000000001E-2</v>
      </c>
      <c r="E14" s="17">
        <v>2.1092000000000003E-2</v>
      </c>
      <c r="F14" s="17">
        <v>2.6141999999999999E-2</v>
      </c>
      <c r="G14" s="17">
        <v>2.4125000000000001E-2</v>
      </c>
      <c r="H14" s="17">
        <v>2.7125000000000003E-2</v>
      </c>
      <c r="I14" s="17">
        <v>1.3025000000000002E-2</v>
      </c>
      <c r="J14" s="32">
        <v>0</v>
      </c>
      <c r="K14" s="18">
        <v>1.9818599999999999E-2</v>
      </c>
      <c r="L14" s="18">
        <v>2.3518600000000001E-2</v>
      </c>
      <c r="M14" s="18">
        <v>1.3392599999999999E-2</v>
      </c>
      <c r="N14" s="18">
        <v>7.0006000000000009E-3</v>
      </c>
    </row>
    <row r="15" spans="1:14" x14ac:dyDescent="0.2">
      <c r="A15" t="s">
        <v>7</v>
      </c>
      <c r="B15" s="17"/>
      <c r="C15" s="17">
        <v>1.1811000000000002E-2</v>
      </c>
      <c r="D15" s="17">
        <v>1.7177000000000001E-2</v>
      </c>
      <c r="E15" s="17">
        <v>2.1092000000000003E-2</v>
      </c>
      <c r="F15" s="17">
        <v>2.6141999999999999E-2</v>
      </c>
      <c r="G15" s="17">
        <v>2.5625000000000002E-2</v>
      </c>
      <c r="H15" s="17">
        <v>2.8624999999999991E-2</v>
      </c>
      <c r="I15" s="17">
        <v>1.7125000000000001E-2</v>
      </c>
      <c r="J15" s="32">
        <v>0</v>
      </c>
      <c r="K15" s="18">
        <v>1.9656E-2</v>
      </c>
      <c r="L15" s="18">
        <v>2.2943200000000004E-2</v>
      </c>
      <c r="M15" s="18">
        <v>1.5978599999999999E-2</v>
      </c>
      <c r="N15" s="18">
        <v>7.8621999999999997E-3</v>
      </c>
    </row>
    <row r="16" spans="1:14" x14ac:dyDescent="0.2">
      <c r="A16" t="s">
        <v>7</v>
      </c>
      <c r="B16" s="17"/>
      <c r="C16" s="17">
        <v>1.0891999999999999E-2</v>
      </c>
      <c r="D16" s="17">
        <v>1.9077E-2</v>
      </c>
      <c r="E16" s="17">
        <v>2.1776999999999998E-2</v>
      </c>
      <c r="F16" s="17">
        <v>2.6826999999999997E-2</v>
      </c>
      <c r="G16" s="17">
        <v>2.3125E-2</v>
      </c>
      <c r="H16" s="17">
        <v>2.3125E-2</v>
      </c>
      <c r="I16" s="17">
        <v>1.5025E-2</v>
      </c>
      <c r="J16" s="32">
        <v>0</v>
      </c>
      <c r="K16" s="18">
        <v>1.9960599999999995E-2</v>
      </c>
      <c r="L16" s="18">
        <v>2.2736599999999999E-2</v>
      </c>
      <c r="M16" s="18">
        <v>1.5532599999999999E-2</v>
      </c>
      <c r="N16" s="18">
        <v>7.0261999999999998E-3</v>
      </c>
    </row>
    <row r="17" spans="1:14" x14ac:dyDescent="0.2">
      <c r="A17" t="s">
        <v>7</v>
      </c>
      <c r="B17" s="17"/>
      <c r="C17" s="17">
        <v>1.0891999999999999E-2</v>
      </c>
      <c r="D17" s="17">
        <v>1.9077E-2</v>
      </c>
      <c r="E17" s="17">
        <v>2.1776999999999998E-2</v>
      </c>
      <c r="F17" s="17">
        <v>2.6826999999999997E-2</v>
      </c>
      <c r="G17" s="17">
        <v>2.3125E-2</v>
      </c>
      <c r="H17" s="17">
        <v>2.3125E-2</v>
      </c>
      <c r="I17" s="17">
        <v>1.5025E-2</v>
      </c>
      <c r="J17" s="32">
        <v>0</v>
      </c>
      <c r="K17" s="18">
        <v>2.0091999999999999E-2</v>
      </c>
      <c r="L17" s="18">
        <v>2.32172E-2</v>
      </c>
      <c r="M17" s="18">
        <v>1.55236E-2</v>
      </c>
      <c r="N17" s="18">
        <v>7.0261999999999998E-3</v>
      </c>
    </row>
    <row r="18" spans="1:14" x14ac:dyDescent="0.2">
      <c r="A18" t="s">
        <v>7</v>
      </c>
      <c r="B18" s="17"/>
      <c r="C18" s="17">
        <v>1.1089999999999999E-2</v>
      </c>
      <c r="D18" s="17">
        <v>1.9077E-2</v>
      </c>
      <c r="E18" s="17">
        <v>2.1776999999999998E-2</v>
      </c>
      <c r="F18" s="17">
        <v>2.6826999999999997E-2</v>
      </c>
      <c r="G18" s="17">
        <v>2.5625000000000002E-2</v>
      </c>
      <c r="H18" s="17">
        <v>2.8624999999999991E-2</v>
      </c>
      <c r="I18" s="17">
        <v>1.7125000000000001E-2</v>
      </c>
      <c r="J18" s="32">
        <v>0</v>
      </c>
      <c r="K18" s="18">
        <v>1.993E-2</v>
      </c>
      <c r="L18" s="18">
        <v>2.32172E-2</v>
      </c>
      <c r="M18" s="18">
        <v>1.6738599999999999E-2</v>
      </c>
      <c r="N18" s="18">
        <v>7.0261999999999998E-3</v>
      </c>
    </row>
    <row r="19" spans="1:14" x14ac:dyDescent="0.2">
      <c r="A19" t="s">
        <v>7</v>
      </c>
      <c r="B19" s="17"/>
      <c r="C19" s="17">
        <v>1.1089999999999999E-2</v>
      </c>
      <c r="D19" s="17">
        <v>1.9077E-2</v>
      </c>
      <c r="E19" s="17">
        <v>2.1776999999999998E-2</v>
      </c>
      <c r="F19" s="17">
        <v>2.6826999999999997E-2</v>
      </c>
      <c r="G19" s="17">
        <v>2.5625000000000002E-2</v>
      </c>
      <c r="H19" s="17">
        <v>2.8624999999999991E-2</v>
      </c>
      <c r="I19" s="17">
        <v>1.7125000000000001E-2</v>
      </c>
      <c r="J19" s="32">
        <v>0</v>
      </c>
      <c r="K19" s="18">
        <v>1.7649999999999999E-2</v>
      </c>
      <c r="L19" s="18">
        <v>2.09372E-2</v>
      </c>
      <c r="M19" s="18">
        <v>1.4458599999999999E-2</v>
      </c>
      <c r="N19" s="18">
        <v>7.8574000000000005E-3</v>
      </c>
    </row>
    <row r="20" spans="1:14" x14ac:dyDescent="0.2">
      <c r="A20" t="s">
        <v>7</v>
      </c>
      <c r="B20" s="17"/>
      <c r="C20" s="17">
        <v>1.0891999999999999E-2</v>
      </c>
      <c r="D20" s="17">
        <v>1.9077E-2</v>
      </c>
      <c r="E20" s="17">
        <v>2.1776999999999998E-2</v>
      </c>
      <c r="F20" s="17">
        <v>2.6826999999999997E-2</v>
      </c>
      <c r="G20" s="17">
        <v>2.5625000000000002E-2</v>
      </c>
      <c r="H20" s="17">
        <v>2.8624999999999991E-2</v>
      </c>
      <c r="I20" s="17">
        <v>1.7125000000000001E-2</v>
      </c>
      <c r="J20" s="32">
        <v>0</v>
      </c>
      <c r="K20" s="18">
        <v>1.993E-2</v>
      </c>
      <c r="L20" s="18">
        <v>2.32172E-2</v>
      </c>
      <c r="M20" s="18">
        <v>1.6738599999999999E-2</v>
      </c>
      <c r="N20" s="18">
        <v>7.8697999999999997E-3</v>
      </c>
    </row>
    <row r="21" spans="1:14" x14ac:dyDescent="0.2">
      <c r="A21" t="s">
        <v>7</v>
      </c>
      <c r="B21" s="17"/>
      <c r="C21" s="17">
        <v>1.1584999999999998E-2</v>
      </c>
      <c r="D21" s="17">
        <v>1.9077E-2</v>
      </c>
      <c r="E21" s="17">
        <v>2.1776999999999998E-2</v>
      </c>
      <c r="F21" s="17">
        <v>2.6826999999999997E-2</v>
      </c>
      <c r="G21" s="17">
        <v>2.5625000000000002E-2</v>
      </c>
      <c r="H21" s="17">
        <v>2.8624999999999991E-2</v>
      </c>
      <c r="I21" s="17">
        <v>1.7125000000000001E-2</v>
      </c>
      <c r="J21" s="32">
        <v>0</v>
      </c>
      <c r="K21" s="18">
        <v>1.993E-2</v>
      </c>
      <c r="L21" s="18">
        <v>2.32172E-2</v>
      </c>
      <c r="M21" s="18">
        <v>1.6738599999999999E-2</v>
      </c>
      <c r="N21" s="18">
        <v>7.0292000000000011E-3</v>
      </c>
    </row>
    <row r="22" spans="1:14" x14ac:dyDescent="0.2">
      <c r="A22" t="s">
        <v>7</v>
      </c>
      <c r="B22" s="17"/>
      <c r="C22" s="17">
        <v>1.1584999999999998E-2</v>
      </c>
      <c r="D22" s="17">
        <v>1.9077E-2</v>
      </c>
      <c r="E22" s="17">
        <v>2.1776999999999998E-2</v>
      </c>
      <c r="F22" s="17">
        <v>2.6826999999999997E-2</v>
      </c>
      <c r="G22" s="17">
        <v>2.5625000000000002E-2</v>
      </c>
      <c r="H22" s="17">
        <v>2.8624999999999991E-2</v>
      </c>
      <c r="I22" s="17">
        <v>1.7125000000000001E-2</v>
      </c>
      <c r="J22" s="32">
        <v>0</v>
      </c>
      <c r="K22" s="18">
        <v>1.993E-2</v>
      </c>
      <c r="L22" s="18">
        <v>2.32172E-2</v>
      </c>
      <c r="M22" s="18">
        <v>1.6738599999999999E-2</v>
      </c>
      <c r="N22" s="18">
        <v>7.8697999999999997E-3</v>
      </c>
    </row>
    <row r="23" spans="1:14" x14ac:dyDescent="0.2">
      <c r="A23" t="s">
        <v>7</v>
      </c>
      <c r="B23" s="17"/>
      <c r="C23" s="17">
        <v>9.8649999999999988E-3</v>
      </c>
      <c r="D23" s="17">
        <v>1.9376999999999998E-2</v>
      </c>
      <c r="E23" s="17">
        <v>2.2076999999999999E-2</v>
      </c>
      <c r="F23" s="17">
        <v>2.7127000000000002E-2</v>
      </c>
      <c r="G23" s="17">
        <v>2.5625000000000002E-2</v>
      </c>
      <c r="H23" s="17">
        <v>2.8624999999999991E-2</v>
      </c>
      <c r="I23" s="17">
        <v>1.7125000000000001E-2</v>
      </c>
      <c r="J23" s="32">
        <v>0</v>
      </c>
      <c r="K23" s="18">
        <v>1.5052599999999999E-2</v>
      </c>
      <c r="L23" s="18">
        <v>1.94726E-2</v>
      </c>
      <c r="M23" s="18">
        <v>1.2178599999999998E-2</v>
      </c>
      <c r="N23" s="18">
        <v>7.9070000000000008E-3</v>
      </c>
    </row>
    <row r="24" spans="1:14" x14ac:dyDescent="0.2">
      <c r="A24" t="s">
        <v>7</v>
      </c>
      <c r="B24" s="17"/>
      <c r="C24" s="17">
        <v>1.4355E-2</v>
      </c>
      <c r="D24" s="17">
        <v>1.9376999999999998E-2</v>
      </c>
      <c r="E24" s="17">
        <v>2.2076999999999999E-2</v>
      </c>
      <c r="F24" s="17">
        <v>2.7127000000000002E-2</v>
      </c>
      <c r="G24" s="17">
        <v>2.4125000000000001E-2</v>
      </c>
      <c r="H24" s="17">
        <v>2.7125000000000003E-2</v>
      </c>
      <c r="I24" s="17">
        <v>1.5625E-2</v>
      </c>
      <c r="J24" s="32">
        <v>0</v>
      </c>
      <c r="K24" s="18">
        <v>2.0212599999999997E-2</v>
      </c>
      <c r="L24" s="18">
        <v>2.3912599999999999E-2</v>
      </c>
      <c r="M24" s="18">
        <v>1.54726E-2</v>
      </c>
      <c r="N24" s="18">
        <v>7.9070000000000008E-3</v>
      </c>
    </row>
    <row r="25" spans="1:14" x14ac:dyDescent="0.2">
      <c r="A25" t="s">
        <v>7</v>
      </c>
      <c r="B25" s="17"/>
      <c r="C25" s="17">
        <v>1.4355E-2</v>
      </c>
      <c r="D25" s="17">
        <v>1.9376999999999998E-2</v>
      </c>
      <c r="E25" s="17">
        <v>2.2076999999999999E-2</v>
      </c>
      <c r="F25" s="17">
        <v>2.7127000000000002E-2</v>
      </c>
      <c r="G25" s="17">
        <v>2.4125000000000001E-2</v>
      </c>
      <c r="H25" s="17">
        <v>2.7125000000000003E-2</v>
      </c>
      <c r="I25" s="17">
        <v>1.6458333333333335E-2</v>
      </c>
      <c r="J25" s="32">
        <v>0</v>
      </c>
      <c r="K25" s="18">
        <v>2.0212599999999997E-2</v>
      </c>
      <c r="L25" s="18">
        <v>2.3912599999999999E-2</v>
      </c>
      <c r="M25" s="18">
        <v>1.59726E-2</v>
      </c>
      <c r="N25" s="18">
        <v>7.8277999999999993E-3</v>
      </c>
    </row>
    <row r="26" spans="1:14" x14ac:dyDescent="0.2">
      <c r="A26" t="s">
        <v>8</v>
      </c>
      <c r="B26" s="17"/>
      <c r="C26" s="17">
        <v>1.4355E-2</v>
      </c>
      <c r="D26" s="17">
        <v>1.9376999999999998E-2</v>
      </c>
      <c r="E26" s="17">
        <v>2.2076999999999999E-2</v>
      </c>
      <c r="F26" s="17">
        <v>2.7127000000000002E-2</v>
      </c>
      <c r="G26" s="17">
        <v>2.5625000000000002E-2</v>
      </c>
      <c r="H26" s="17">
        <v>2.8624999999999991E-2</v>
      </c>
      <c r="I26" s="17">
        <v>1.7125000000000001E-2</v>
      </c>
      <c r="J26" s="32">
        <v>0</v>
      </c>
      <c r="K26" s="18">
        <v>2.0049999999999998E-2</v>
      </c>
      <c r="L26" s="18">
        <v>2.3337200000000002E-2</v>
      </c>
      <c r="M26" s="18">
        <v>1.6858599999999998E-2</v>
      </c>
      <c r="N26" s="18">
        <v>8.1566E-3</v>
      </c>
    </row>
    <row r="27" spans="1:14" x14ac:dyDescent="0.2">
      <c r="A27" t="s">
        <v>7</v>
      </c>
      <c r="B27" s="17"/>
      <c r="C27" s="17">
        <v>9.8649999999999988E-3</v>
      </c>
      <c r="D27" s="17">
        <v>2.1176999999999998E-2</v>
      </c>
      <c r="E27" s="17">
        <v>2.3877000000000002E-2</v>
      </c>
      <c r="F27" s="17">
        <v>2.8927000000000001E-2</v>
      </c>
      <c r="G27" s="17">
        <v>2.5625000000000002E-2</v>
      </c>
      <c r="H27" s="17">
        <v>2.8624999999999991E-2</v>
      </c>
      <c r="I27" s="17">
        <v>1.7125000000000001E-2</v>
      </c>
      <c r="J27" s="32">
        <v>0</v>
      </c>
      <c r="K27" s="18">
        <v>1.7649999999999999E-2</v>
      </c>
      <c r="L27" s="18">
        <v>2.09372E-2</v>
      </c>
      <c r="M27" s="18">
        <v>1.4458599999999999E-2</v>
      </c>
      <c r="N27" s="18">
        <v>5.1958000000000004E-3</v>
      </c>
    </row>
    <row r="28" spans="1:14" x14ac:dyDescent="0.2">
      <c r="A28" t="s">
        <v>7</v>
      </c>
      <c r="B28" s="17"/>
      <c r="C28" s="17">
        <v>9.8649999999999988E-3</v>
      </c>
      <c r="D28" s="17">
        <v>2.1176999999999998E-2</v>
      </c>
      <c r="E28" s="17">
        <v>2.3877000000000002E-2</v>
      </c>
      <c r="F28" s="17">
        <v>2.8927000000000001E-2</v>
      </c>
      <c r="G28" s="17">
        <v>2.5625000000000002E-2</v>
      </c>
      <c r="H28" s="17">
        <v>2.8624999999999991E-2</v>
      </c>
      <c r="I28" s="17">
        <v>1.7125000000000001E-2</v>
      </c>
      <c r="J28" s="32">
        <v>0</v>
      </c>
      <c r="K28" s="18">
        <v>1.5774400000000001E-2</v>
      </c>
      <c r="L28" s="18">
        <v>2.0192600000000002E-2</v>
      </c>
      <c r="M28" s="18">
        <v>1.28986E-2</v>
      </c>
      <c r="N28" s="18">
        <v>8.3137999999999997E-3</v>
      </c>
    </row>
    <row r="29" spans="1:14" x14ac:dyDescent="0.2">
      <c r="A29" t="s">
        <v>7</v>
      </c>
      <c r="B29" s="17"/>
      <c r="C29" s="17">
        <v>9.8649999999999988E-3</v>
      </c>
      <c r="D29" s="17">
        <v>2.1176999999999998E-2</v>
      </c>
      <c r="E29" s="17">
        <v>2.3877000000000002E-2</v>
      </c>
      <c r="F29" s="17">
        <v>2.8927000000000001E-2</v>
      </c>
      <c r="G29" s="17">
        <v>2.5625000000000002E-2</v>
      </c>
      <c r="H29" s="17">
        <v>2.8624999999999991E-2</v>
      </c>
      <c r="I29" s="17">
        <v>1.7125000000000001E-2</v>
      </c>
      <c r="J29" s="32">
        <v>0</v>
      </c>
      <c r="K29" s="18">
        <v>2.07718E-2</v>
      </c>
      <c r="L29" s="18">
        <v>2.4057200000000001E-2</v>
      </c>
      <c r="M29" s="18">
        <v>1.75786E-2</v>
      </c>
      <c r="N29" s="18">
        <v>8.5634000000000005E-3</v>
      </c>
    </row>
    <row r="30" spans="1:14" x14ac:dyDescent="0.2">
      <c r="A30" t="s">
        <v>7</v>
      </c>
      <c r="B30" s="17"/>
      <c r="C30" s="17">
        <v>1.0429999999999998E-2</v>
      </c>
      <c r="D30" s="17">
        <v>2.1176999999999998E-2</v>
      </c>
      <c r="E30" s="17">
        <v>2.3877000000000002E-2</v>
      </c>
      <c r="F30" s="17">
        <v>2.8927000000000001E-2</v>
      </c>
      <c r="G30" s="17">
        <v>2.4125000000000001E-2</v>
      </c>
      <c r="H30" s="17">
        <v>2.7125000000000003E-2</v>
      </c>
      <c r="I30" s="17">
        <v>1.3025000000000002E-2</v>
      </c>
      <c r="J30" s="32">
        <v>0</v>
      </c>
      <c r="K30" s="18">
        <v>2.0934399999999995E-2</v>
      </c>
      <c r="L30" s="18">
        <v>2.4632600000000001E-2</v>
      </c>
      <c r="M30" s="18">
        <v>1.3192599999999999E-2</v>
      </c>
      <c r="N30" s="18">
        <v>6.9957999999999999E-3</v>
      </c>
    </row>
    <row r="31" spans="1:14" x14ac:dyDescent="0.2">
      <c r="A31" t="s">
        <v>7</v>
      </c>
      <c r="B31" s="17"/>
      <c r="C31" s="17">
        <v>1.0429999999999998E-2</v>
      </c>
      <c r="D31" s="17">
        <v>2.1176999999999998E-2</v>
      </c>
      <c r="E31" s="17">
        <v>2.3877000000000002E-2</v>
      </c>
      <c r="F31" s="17">
        <v>2.8927000000000001E-2</v>
      </c>
      <c r="G31" s="17">
        <v>2.4125000000000001E-2</v>
      </c>
      <c r="H31" s="17">
        <v>2.7125000000000003E-2</v>
      </c>
      <c r="I31" s="17">
        <v>1.3025000000000002E-2</v>
      </c>
      <c r="J31" s="32">
        <v>0</v>
      </c>
      <c r="K31" s="18">
        <v>2.0934399999999995E-2</v>
      </c>
      <c r="L31" s="18">
        <v>2.4632600000000001E-2</v>
      </c>
      <c r="M31" s="18">
        <v>1.4992599999999998E-2</v>
      </c>
      <c r="N31" s="18">
        <v>7.7018E-3</v>
      </c>
    </row>
    <row r="32" spans="1:14" x14ac:dyDescent="0.2">
      <c r="A32" t="s">
        <v>7</v>
      </c>
      <c r="B32" s="17"/>
      <c r="C32" s="17">
        <v>1.0429999999999998E-2</v>
      </c>
      <c r="D32" s="17">
        <v>2.1176999999999998E-2</v>
      </c>
      <c r="E32" s="17">
        <v>2.3877000000000002E-2</v>
      </c>
      <c r="F32" s="17">
        <v>2.8927000000000001E-2</v>
      </c>
      <c r="G32" s="17">
        <v>2.5625000000000002E-2</v>
      </c>
      <c r="H32" s="17">
        <v>2.8624999999999991E-2</v>
      </c>
      <c r="I32" s="17">
        <v>1.7125000000000001E-2</v>
      </c>
      <c r="J32" s="32">
        <v>0</v>
      </c>
      <c r="K32" s="18">
        <v>2.07718E-2</v>
      </c>
      <c r="L32" s="18">
        <v>2.4057200000000001E-2</v>
      </c>
      <c r="M32" s="18">
        <v>1.75786E-2</v>
      </c>
      <c r="N32" s="18">
        <v>8.5634000000000005E-3</v>
      </c>
    </row>
    <row r="33" spans="1:14" x14ac:dyDescent="0.2">
      <c r="A33" t="s">
        <v>9</v>
      </c>
      <c r="B33" s="17"/>
      <c r="C33" s="17">
        <v>1.1023999999999999E-2</v>
      </c>
      <c r="D33" s="17">
        <v>2.1176999999999998E-2</v>
      </c>
      <c r="E33" s="17">
        <v>2.3877000000000006E-2</v>
      </c>
      <c r="F33" s="17">
        <v>2.8927000000000005E-2</v>
      </c>
      <c r="G33" s="17">
        <v>2.5625000000000005E-2</v>
      </c>
      <c r="H33" s="17">
        <v>2.8624999999999987E-2</v>
      </c>
      <c r="I33" s="17">
        <v>1.7125000000000001E-2</v>
      </c>
      <c r="J33" s="32">
        <v>0</v>
      </c>
      <c r="K33" s="18">
        <v>2.07718E-2</v>
      </c>
      <c r="L33" s="18">
        <v>2.4057200000000001E-2</v>
      </c>
      <c r="M33" s="18">
        <v>1.75786E-2</v>
      </c>
      <c r="N33" s="18">
        <v>7.7288000000000009E-3</v>
      </c>
    </row>
    <row r="34" spans="1:14" x14ac:dyDescent="0.2">
      <c r="A34" t="s">
        <v>7</v>
      </c>
      <c r="B34" s="17"/>
      <c r="C34" s="17">
        <v>1.1811000000000002E-2</v>
      </c>
      <c r="D34" s="17">
        <v>2.1176999999999998E-2</v>
      </c>
      <c r="E34" s="17">
        <v>2.3877000000000002E-2</v>
      </c>
      <c r="F34" s="17">
        <v>2.8927000000000001E-2</v>
      </c>
      <c r="G34" s="17">
        <v>2.4125000000000001E-2</v>
      </c>
      <c r="H34" s="17">
        <v>2.7125000000000003E-2</v>
      </c>
      <c r="I34" s="17">
        <v>1.3025000000000002E-2</v>
      </c>
      <c r="J34" s="32">
        <v>0</v>
      </c>
      <c r="K34" s="18">
        <v>2.0934399999999995E-2</v>
      </c>
      <c r="L34" s="18">
        <v>2.4632600000000001E-2</v>
      </c>
      <c r="M34" s="18">
        <v>1.4992599999999998E-2</v>
      </c>
      <c r="N34" s="18">
        <v>7.7018E-3</v>
      </c>
    </row>
    <row r="35" spans="1:14" x14ac:dyDescent="0.2">
      <c r="A35" t="s">
        <v>52</v>
      </c>
      <c r="B35" s="17"/>
      <c r="C35" s="17">
        <v>1.1811000000000002E-2</v>
      </c>
      <c r="D35" s="17">
        <v>2.1176999999999998E-2</v>
      </c>
      <c r="E35" s="17">
        <v>2.3877000000000002E-2</v>
      </c>
      <c r="F35" s="17">
        <v>2.8927000000000001E-2</v>
      </c>
      <c r="G35" s="17">
        <v>2.5625000000000002E-2</v>
      </c>
      <c r="H35" s="17">
        <v>2.8624999999999991E-2</v>
      </c>
      <c r="I35" s="17">
        <v>1.7125000000000001E-2</v>
      </c>
      <c r="J35" s="32">
        <v>0</v>
      </c>
      <c r="K35" s="18">
        <v>2.07718E-2</v>
      </c>
      <c r="L35" s="18">
        <v>2.4057200000000001E-2</v>
      </c>
      <c r="M35" s="18">
        <v>1.75786E-2</v>
      </c>
      <c r="N35" s="18">
        <v>7.7318000000000005E-3</v>
      </c>
    </row>
    <row r="36" spans="1:14" x14ac:dyDescent="0.2">
      <c r="A36" t="s">
        <v>7</v>
      </c>
      <c r="B36" s="17"/>
      <c r="C36" s="17">
        <v>1.2310999999999999E-2</v>
      </c>
      <c r="D36" s="17">
        <v>2.1176999999999998E-2</v>
      </c>
      <c r="E36" s="17">
        <v>2.3877000000000006E-2</v>
      </c>
      <c r="F36" s="17">
        <v>2.8927000000000005E-2</v>
      </c>
      <c r="G36" s="17">
        <v>2.5625000000000005E-2</v>
      </c>
      <c r="H36" s="17">
        <v>2.8624999999999987E-2</v>
      </c>
      <c r="I36" s="17">
        <v>1.7125000000000001E-2</v>
      </c>
      <c r="J36" s="32">
        <v>0</v>
      </c>
      <c r="K36" s="18">
        <v>2.07718E-2</v>
      </c>
      <c r="L36" s="18">
        <v>2.4057200000000001E-2</v>
      </c>
      <c r="M36" s="18">
        <v>1.75786E-2</v>
      </c>
      <c r="N36" s="18">
        <v>7.7228000000000002E-3</v>
      </c>
    </row>
    <row r="37" spans="1:14" x14ac:dyDescent="0.2">
      <c r="A37" t="s">
        <v>7</v>
      </c>
      <c r="B37" s="17"/>
      <c r="C37" s="17">
        <v>1.2310999999999999E-2</v>
      </c>
      <c r="D37" s="17">
        <v>2.1176999999999998E-2</v>
      </c>
      <c r="E37" s="17">
        <v>2.3877000000000002E-2</v>
      </c>
      <c r="F37" s="17">
        <v>2.8927000000000001E-2</v>
      </c>
      <c r="G37" s="17">
        <v>2.5625000000000002E-2</v>
      </c>
      <c r="H37" s="17">
        <v>2.8624999999999991E-2</v>
      </c>
      <c r="I37" s="17">
        <v>1.7125000000000001E-2</v>
      </c>
      <c r="J37" s="32">
        <v>0</v>
      </c>
      <c r="K37" s="18">
        <v>1.7649999999999999E-2</v>
      </c>
      <c r="L37" s="18">
        <v>2.09372E-2</v>
      </c>
      <c r="M37" s="18">
        <v>1.4458599999999999E-2</v>
      </c>
      <c r="N37" s="18">
        <v>7.8574000000000005E-3</v>
      </c>
    </row>
    <row r="38" spans="1:14" x14ac:dyDescent="0.2">
      <c r="A38" t="s">
        <v>7</v>
      </c>
      <c r="B38" s="17"/>
      <c r="C38" s="17">
        <v>1.2310999999999999E-2</v>
      </c>
      <c r="D38" s="17">
        <v>2.1176999999999998E-2</v>
      </c>
      <c r="E38" s="17">
        <v>2.3877000000000002E-2</v>
      </c>
      <c r="F38" s="17">
        <v>2.8927000000000001E-2</v>
      </c>
      <c r="G38" s="17">
        <v>2.5625000000000002E-2</v>
      </c>
      <c r="H38" s="17">
        <v>2.8624999999999991E-2</v>
      </c>
      <c r="I38" s="17">
        <v>1.7125000000000001E-2</v>
      </c>
      <c r="J38" s="32">
        <v>0</v>
      </c>
      <c r="K38" s="18">
        <v>2.07718E-2</v>
      </c>
      <c r="L38" s="18">
        <v>2.4057200000000001E-2</v>
      </c>
      <c r="M38" s="18">
        <v>1.75786E-2</v>
      </c>
      <c r="N38" s="18">
        <v>8.5634000000000005E-3</v>
      </c>
    </row>
    <row r="39" spans="1:14" x14ac:dyDescent="0.2">
      <c r="A39" t="s">
        <v>7</v>
      </c>
      <c r="B39" s="17"/>
      <c r="C39" s="17">
        <v>1.2650000000000002E-2</v>
      </c>
      <c r="D39" s="17">
        <v>2.1176999999999998E-2</v>
      </c>
      <c r="E39" s="17">
        <v>2.3877000000000002E-2</v>
      </c>
      <c r="F39" s="17">
        <v>2.8927000000000001E-2</v>
      </c>
      <c r="G39" s="17">
        <v>1.3125000000000001E-2</v>
      </c>
      <c r="H39" s="17">
        <v>1.7125000000000001E-2</v>
      </c>
      <c r="I39" s="17">
        <v>1.0135000000000002E-2</v>
      </c>
      <c r="J39" s="32">
        <v>0</v>
      </c>
      <c r="K39" s="18">
        <v>1.5774400000000001E-2</v>
      </c>
      <c r="L39" s="18">
        <v>2.0192600000000002E-2</v>
      </c>
      <c r="M39" s="18">
        <v>1.28986E-2</v>
      </c>
      <c r="N39" s="18">
        <v>8.3138000000000014E-3</v>
      </c>
    </row>
    <row r="40" spans="1:14" x14ac:dyDescent="0.2">
      <c r="A40" t="s">
        <v>7</v>
      </c>
      <c r="B40" s="17"/>
      <c r="C40" s="17">
        <v>1.2752075117370944E-2</v>
      </c>
      <c r="D40" s="17">
        <v>2.1176999999999946E-2</v>
      </c>
      <c r="E40" s="17">
        <v>2.3876999999999985E-2</v>
      </c>
      <c r="F40" s="17">
        <v>2.8927000000000033E-2</v>
      </c>
      <c r="G40" s="17">
        <v>1.8125000000000051E-2</v>
      </c>
      <c r="H40" s="17">
        <v>2.0124999999999942E-2</v>
      </c>
      <c r="I40" s="17">
        <v>1.5524999999999935E-2</v>
      </c>
      <c r="J40" s="32">
        <v>0</v>
      </c>
      <c r="K40" s="18">
        <v>1.6959999999999947E-2</v>
      </c>
      <c r="L40" s="18">
        <v>1.9329200000000008E-2</v>
      </c>
      <c r="M40" s="18">
        <v>1.5793599999999956E-2</v>
      </c>
      <c r="N40" s="18">
        <v>7.8667999999999828E-3</v>
      </c>
    </row>
    <row r="41" spans="1:14" x14ac:dyDescent="0.2">
      <c r="A41" t="s">
        <v>7</v>
      </c>
      <c r="B41" s="17"/>
      <c r="C41" s="17">
        <v>1.2810000000000002E-2</v>
      </c>
      <c r="D41" s="17">
        <v>2.1176999999999998E-2</v>
      </c>
      <c r="E41" s="17">
        <v>2.3877000000000002E-2</v>
      </c>
      <c r="F41" s="17">
        <v>2.8927000000000001E-2</v>
      </c>
      <c r="G41" s="17">
        <v>2.1124999999999998E-2</v>
      </c>
      <c r="H41" s="17">
        <v>2.7125000000000003E-2</v>
      </c>
      <c r="I41" s="17">
        <v>1.6125E-2</v>
      </c>
      <c r="J41" s="32">
        <v>0</v>
      </c>
      <c r="K41" s="18">
        <v>9.7743999999999991E-3</v>
      </c>
      <c r="L41" s="18">
        <v>1.1792600000000002E-2</v>
      </c>
      <c r="M41" s="18">
        <v>1.64926E-2</v>
      </c>
      <c r="N41" s="18">
        <v>8.3137999999999997E-3</v>
      </c>
    </row>
    <row r="42" spans="1:14" x14ac:dyDescent="0.2">
      <c r="A42" t="s">
        <v>7</v>
      </c>
      <c r="B42" s="17"/>
      <c r="C42" s="17">
        <v>1.2570000000000001E-2</v>
      </c>
      <c r="D42" s="17">
        <v>2.1176999999999998E-2</v>
      </c>
      <c r="E42" s="17">
        <v>2.3877000000000002E-2</v>
      </c>
      <c r="F42" s="17">
        <v>2.8927000000000001E-2</v>
      </c>
      <c r="G42" s="17">
        <v>2.4125000000000001E-2</v>
      </c>
      <c r="H42" s="17">
        <v>2.7125000000000003E-2</v>
      </c>
      <c r="I42" s="17">
        <v>1.3025000000000002E-2</v>
      </c>
      <c r="J42" s="32">
        <v>0</v>
      </c>
      <c r="K42" s="18">
        <v>2.0934399999999995E-2</v>
      </c>
      <c r="L42" s="18">
        <v>2.4632600000000001E-2</v>
      </c>
      <c r="M42" s="18">
        <v>1.4992599999999998E-2</v>
      </c>
      <c r="N42" s="18">
        <v>7.7018E-3</v>
      </c>
    </row>
    <row r="43" spans="1:14" x14ac:dyDescent="0.2">
      <c r="A43" t="s">
        <v>7</v>
      </c>
      <c r="B43" s="17"/>
      <c r="C43" s="17">
        <v>1.2810000000000002E-2</v>
      </c>
      <c r="D43" s="17">
        <v>2.1176999999999998E-2</v>
      </c>
      <c r="E43" s="17">
        <v>2.3877000000000002E-2</v>
      </c>
      <c r="F43" s="17">
        <v>2.8927000000000001E-2</v>
      </c>
      <c r="G43" s="17">
        <v>2.4125000000000001E-2</v>
      </c>
      <c r="H43" s="17">
        <v>2.7125000000000003E-2</v>
      </c>
      <c r="I43" s="17">
        <v>1.4124999999999999E-2</v>
      </c>
      <c r="J43" s="32">
        <v>0</v>
      </c>
      <c r="K43" s="18">
        <v>2.07718E-2</v>
      </c>
      <c r="L43" s="18">
        <v>2.4057200000000001E-2</v>
      </c>
      <c r="M43" s="18">
        <v>1.75786E-2</v>
      </c>
      <c r="N43" s="18">
        <v>8.5634000000000005E-3</v>
      </c>
    </row>
    <row r="44" spans="1:14" x14ac:dyDescent="0.2">
      <c r="A44" t="s">
        <v>7</v>
      </c>
      <c r="B44" s="17"/>
      <c r="C44" s="17">
        <v>1.2810000000000002E-2</v>
      </c>
      <c r="D44" s="17">
        <v>2.1176999999999998E-2</v>
      </c>
      <c r="E44" s="17">
        <v>2.3876999999999999E-2</v>
      </c>
      <c r="F44" s="17">
        <v>2.8926999999999998E-2</v>
      </c>
      <c r="G44" s="17">
        <v>2.4124999999999997E-2</v>
      </c>
      <c r="H44" s="17">
        <v>2.7125E-2</v>
      </c>
      <c r="I44" s="17">
        <v>1.5625E-2</v>
      </c>
      <c r="J44" s="32">
        <v>0</v>
      </c>
      <c r="K44" s="18">
        <v>2.0212599999999997E-2</v>
      </c>
      <c r="L44" s="18">
        <v>2.3912599999999996E-2</v>
      </c>
      <c r="M44" s="18">
        <v>1.54726E-2</v>
      </c>
      <c r="N44" s="18">
        <v>7.9070000000000008E-3</v>
      </c>
    </row>
    <row r="45" spans="1:14" x14ac:dyDescent="0.2">
      <c r="A45" t="s">
        <v>30</v>
      </c>
      <c r="B45" s="17"/>
      <c r="C45" s="17">
        <v>1.250353333333333E-2</v>
      </c>
      <c r="D45" s="17">
        <v>2.1176999999999998E-2</v>
      </c>
      <c r="E45" s="17">
        <v>2.3877000000000006E-2</v>
      </c>
      <c r="F45" s="17">
        <v>2.8927000000000012E-2</v>
      </c>
      <c r="G45" s="17">
        <v>2.5625000000000005E-2</v>
      </c>
      <c r="H45" s="17">
        <v>2.8625000000000005E-2</v>
      </c>
      <c r="I45" s="17">
        <v>1.7125000000000001E-2</v>
      </c>
      <c r="J45" s="32">
        <v>0</v>
      </c>
      <c r="K45" s="18">
        <v>2.0771800000000007E-2</v>
      </c>
      <c r="L45" s="18">
        <v>2.4057200000000001E-2</v>
      </c>
      <c r="M45" s="18">
        <v>1.7578600000000007E-2</v>
      </c>
      <c r="N45" s="18">
        <v>7.7278000000000017E-3</v>
      </c>
    </row>
    <row r="46" spans="1:14" x14ac:dyDescent="0.2">
      <c r="A46" t="s">
        <v>7</v>
      </c>
      <c r="B46" s="17"/>
      <c r="C46" s="17">
        <v>1.2778805405405443E-2</v>
      </c>
      <c r="D46" s="17">
        <v>2.1177000000000112E-2</v>
      </c>
      <c r="E46" s="17">
        <v>2.3877000000000051E-2</v>
      </c>
      <c r="F46" s="17">
        <v>2.8927000000000033E-2</v>
      </c>
      <c r="G46" s="17">
        <v>2.5625000000000158E-2</v>
      </c>
      <c r="H46" s="17">
        <v>2.8624999999999932E-2</v>
      </c>
      <c r="I46" s="17">
        <v>1.7124999999999953E-2</v>
      </c>
      <c r="J46" s="32">
        <v>0</v>
      </c>
      <c r="K46" s="18">
        <v>2.1289999999999969E-2</v>
      </c>
      <c r="L46" s="18">
        <v>2.4577200000000028E-2</v>
      </c>
      <c r="M46" s="18">
        <v>1.8098600000000062E-2</v>
      </c>
      <c r="N46" s="18">
        <v>8.1277999999999941E-3</v>
      </c>
    </row>
    <row r="47" spans="1:14" x14ac:dyDescent="0.2">
      <c r="A47" t="s">
        <v>7</v>
      </c>
      <c r="B47" s="17"/>
      <c r="C47" s="17">
        <v>1.2411999999999999E-2</v>
      </c>
      <c r="D47" s="17">
        <v>2.1176999999999998E-2</v>
      </c>
      <c r="E47" s="17">
        <v>2.3877000000000002E-2</v>
      </c>
      <c r="F47" s="17">
        <v>2.8927000000000001E-2</v>
      </c>
      <c r="G47" s="17">
        <v>2.5625000000000002E-2</v>
      </c>
      <c r="H47" s="17">
        <v>2.8624999999999991E-2</v>
      </c>
      <c r="I47" s="17">
        <v>1.7125000000000001E-2</v>
      </c>
      <c r="J47" s="32">
        <v>0</v>
      </c>
      <c r="K47" s="18">
        <v>2.0934399999999995E-2</v>
      </c>
      <c r="L47" s="18">
        <v>2.4632600000000001E-2</v>
      </c>
      <c r="M47" s="18">
        <v>1.4992599999999998E-2</v>
      </c>
      <c r="N47" s="18">
        <v>7.7018E-3</v>
      </c>
    </row>
    <row r="48" spans="1:14" x14ac:dyDescent="0.2">
      <c r="A48" t="s">
        <v>7</v>
      </c>
      <c r="B48" s="17"/>
      <c r="C48" s="17">
        <v>1.2810000000000002E-2</v>
      </c>
      <c r="D48" s="17">
        <v>2.1176999999999998E-2</v>
      </c>
      <c r="E48" s="17">
        <v>2.3877000000000002E-2</v>
      </c>
      <c r="F48" s="17">
        <v>2.8927000000000001E-2</v>
      </c>
      <c r="G48" s="17">
        <v>2.5625000000000002E-2</v>
      </c>
      <c r="H48" s="17">
        <v>2.8624999999999991E-2</v>
      </c>
      <c r="I48" s="17">
        <v>1.7125000000000001E-2</v>
      </c>
      <c r="J48" s="32">
        <v>0</v>
      </c>
      <c r="K48" s="18">
        <v>1.26526E-2</v>
      </c>
      <c r="L48" s="18">
        <v>1.70726E-2</v>
      </c>
      <c r="M48" s="18">
        <v>9.7785999999999984E-3</v>
      </c>
      <c r="N48" s="18">
        <v>7.6077999999999996E-3</v>
      </c>
    </row>
    <row r="49" spans="1:14" x14ac:dyDescent="0.2">
      <c r="A49" t="s">
        <v>7</v>
      </c>
      <c r="B49" s="17"/>
      <c r="C49" s="17">
        <v>1.2410499999999998E-2</v>
      </c>
      <c r="D49" s="17">
        <v>2.1176999999999998E-2</v>
      </c>
      <c r="E49" s="17">
        <v>2.3877000000000002E-2</v>
      </c>
      <c r="F49" s="17">
        <v>2.8927000000000001E-2</v>
      </c>
      <c r="G49" s="17">
        <v>2.5625000000000002E-2</v>
      </c>
      <c r="H49" s="17">
        <v>2.8624999999999991E-2</v>
      </c>
      <c r="I49" s="17">
        <v>1.7125000000000001E-2</v>
      </c>
      <c r="J49" s="32">
        <v>0</v>
      </c>
      <c r="K49" s="18">
        <v>1.5774400000000001E-2</v>
      </c>
      <c r="L49" s="18">
        <v>2.0192600000000002E-2</v>
      </c>
      <c r="M49" s="18">
        <v>1.28986E-2</v>
      </c>
      <c r="N49" s="18">
        <v>8.3137999999999997E-3</v>
      </c>
    </row>
    <row r="50" spans="1:14" x14ac:dyDescent="0.2">
      <c r="A50" t="s">
        <v>7</v>
      </c>
      <c r="B50" s="17"/>
      <c r="C50" s="17">
        <v>1.2810000000000002E-2</v>
      </c>
      <c r="D50" s="17">
        <v>2.1176999999999998E-2</v>
      </c>
      <c r="E50" s="17">
        <v>2.3877000000000002E-2</v>
      </c>
      <c r="F50" s="17">
        <v>2.8927000000000001E-2</v>
      </c>
      <c r="G50" s="17">
        <v>2.5625000000000002E-2</v>
      </c>
      <c r="H50" s="17">
        <v>2.8624999999999991E-2</v>
      </c>
      <c r="I50" s="17">
        <v>1.7125000000000001E-2</v>
      </c>
      <c r="J50" s="32">
        <v>0</v>
      </c>
      <c r="K50" s="18">
        <v>1.7649999999999999E-2</v>
      </c>
      <c r="L50" s="18">
        <v>2.09372E-2</v>
      </c>
      <c r="M50" s="18">
        <v>1.4458599999999999E-2</v>
      </c>
      <c r="N50" s="18">
        <v>7.8574000000000005E-3</v>
      </c>
    </row>
    <row r="51" spans="1:14" x14ac:dyDescent="0.2">
      <c r="A51" t="s">
        <v>5</v>
      </c>
      <c r="B51" s="17"/>
      <c r="C51" s="17">
        <v>1.2646816000000019E-2</v>
      </c>
      <c r="D51" s="17">
        <v>2.1176999999999932E-2</v>
      </c>
      <c r="E51" s="17">
        <v>2.3876999999999964E-2</v>
      </c>
      <c r="F51" s="17">
        <v>2.8927000000000029E-2</v>
      </c>
      <c r="G51" s="17">
        <v>2.5624999999999933E-2</v>
      </c>
      <c r="H51" s="17">
        <v>2.8625000000000008E-2</v>
      </c>
      <c r="I51" s="17">
        <v>1.7124999999999963E-2</v>
      </c>
      <c r="J51" s="32">
        <v>0</v>
      </c>
      <c r="K51" s="18">
        <v>2.07718E-2</v>
      </c>
      <c r="L51" s="18">
        <v>2.4057200000000022E-2</v>
      </c>
      <c r="M51" s="18">
        <v>1.7578599999999972E-2</v>
      </c>
      <c r="N51" s="18">
        <v>8.5633999999999988E-3</v>
      </c>
    </row>
    <row r="52" spans="1:14" x14ac:dyDescent="0.2">
      <c r="A52" t="s">
        <v>7</v>
      </c>
      <c r="B52" s="17"/>
      <c r="C52" s="17">
        <v>1.2905E-2</v>
      </c>
      <c r="D52" s="17">
        <v>2.1176999999999998E-2</v>
      </c>
      <c r="E52" s="17">
        <v>2.3877000000000002E-2</v>
      </c>
      <c r="F52" s="17">
        <v>2.8927000000000001E-2</v>
      </c>
      <c r="G52" s="17">
        <v>2.5625000000000002E-2</v>
      </c>
      <c r="H52" s="17">
        <v>2.8624999999999991E-2</v>
      </c>
      <c r="I52" s="17">
        <v>1.7125000000000001E-2</v>
      </c>
      <c r="J52" s="32">
        <v>0</v>
      </c>
      <c r="K52" s="18">
        <v>2.07718E-2</v>
      </c>
      <c r="L52" s="18">
        <v>2.4057200000000001E-2</v>
      </c>
      <c r="M52" s="18">
        <v>1.75786E-2</v>
      </c>
      <c r="N52" s="18">
        <v>7.7288000000000009E-3</v>
      </c>
    </row>
    <row r="53" spans="1:14" x14ac:dyDescent="0.2">
      <c r="A53" t="s">
        <v>6</v>
      </c>
      <c r="B53" s="17"/>
      <c r="C53" s="17">
        <v>1.2905E-2</v>
      </c>
      <c r="D53" s="17">
        <v>2.1176999999999998E-2</v>
      </c>
      <c r="E53" s="17">
        <v>2.3877000000000006E-2</v>
      </c>
      <c r="F53" s="17">
        <v>2.8927000000000005E-2</v>
      </c>
      <c r="G53" s="17">
        <v>2.5625000000000005E-2</v>
      </c>
      <c r="H53" s="17">
        <v>2.8624999999999987E-2</v>
      </c>
      <c r="I53" s="17">
        <v>1.7125000000000001E-2</v>
      </c>
      <c r="J53" s="32">
        <v>0</v>
      </c>
      <c r="K53" s="18">
        <v>2.07718E-2</v>
      </c>
      <c r="L53" s="18">
        <v>2.4057200000000001E-2</v>
      </c>
      <c r="M53" s="18">
        <v>1.75786E-2</v>
      </c>
      <c r="N53" s="18">
        <v>8.5634000000000005E-3</v>
      </c>
    </row>
    <row r="54" spans="1:14" x14ac:dyDescent="0.2">
      <c r="A54" t="s">
        <v>7</v>
      </c>
      <c r="B54" s="17"/>
      <c r="C54" s="17">
        <v>1.4355E-2</v>
      </c>
      <c r="D54" s="17">
        <v>2.1176999999999998E-2</v>
      </c>
      <c r="E54" s="17">
        <v>2.3877000000000002E-2</v>
      </c>
      <c r="F54" s="17">
        <v>2.8927000000000001E-2</v>
      </c>
      <c r="G54" s="17">
        <v>2.4125000000000001E-2</v>
      </c>
      <c r="H54" s="17">
        <v>2.7125000000000003E-2</v>
      </c>
      <c r="I54" s="17">
        <v>1.5625E-2</v>
      </c>
      <c r="J54" s="32">
        <v>0</v>
      </c>
      <c r="K54" s="18">
        <v>2.0212599999999997E-2</v>
      </c>
      <c r="L54" s="18">
        <v>2.3912599999999999E-2</v>
      </c>
      <c r="M54" s="18">
        <v>1.54726E-2</v>
      </c>
      <c r="N54" s="18">
        <v>7.9070000000000008E-3</v>
      </c>
    </row>
    <row r="55" spans="1:14" x14ac:dyDescent="0.2">
      <c r="A55" t="s">
        <v>7</v>
      </c>
      <c r="B55" s="17"/>
      <c r="C55" s="17">
        <v>1.4355E-2</v>
      </c>
      <c r="D55" s="17">
        <v>2.1176999999999998E-2</v>
      </c>
      <c r="E55" s="17">
        <v>2.3877000000000002E-2</v>
      </c>
      <c r="F55" s="17">
        <v>2.8927000000000001E-2</v>
      </c>
      <c r="G55" s="17">
        <v>2.5625000000000002E-2</v>
      </c>
      <c r="H55" s="17">
        <v>2.8624999999999991E-2</v>
      </c>
      <c r="I55" s="17">
        <v>1.7125000000000001E-2</v>
      </c>
      <c r="J55" s="32">
        <v>0</v>
      </c>
      <c r="K55" s="18">
        <v>2.07718E-2</v>
      </c>
      <c r="L55" s="18">
        <v>2.4057200000000001E-2</v>
      </c>
      <c r="M55" s="18">
        <v>1.75786E-2</v>
      </c>
      <c r="N55" s="18">
        <v>7.7288000000000009E-3</v>
      </c>
    </row>
    <row r="56" spans="1:14" x14ac:dyDescent="0.2">
      <c r="A56" t="s">
        <v>7</v>
      </c>
      <c r="B56" s="17"/>
      <c r="C56" s="17">
        <v>1.4355E-2</v>
      </c>
      <c r="D56" s="17">
        <v>2.1176999999999998E-2</v>
      </c>
      <c r="E56" s="17">
        <v>2.3877000000000002E-2</v>
      </c>
      <c r="F56" s="17">
        <v>2.8927000000000001E-2</v>
      </c>
      <c r="G56" s="17">
        <v>2.5625000000000002E-2</v>
      </c>
      <c r="H56" s="17">
        <v>2.8624999999999991E-2</v>
      </c>
      <c r="I56" s="17">
        <v>1.7125000000000001E-2</v>
      </c>
      <c r="J56" s="32">
        <v>0</v>
      </c>
      <c r="K56" s="18">
        <v>2.07718E-2</v>
      </c>
      <c r="L56" s="18">
        <v>2.4057200000000001E-2</v>
      </c>
      <c r="M56" s="18">
        <v>1.75786E-2</v>
      </c>
      <c r="N56" s="18">
        <v>8.5634000000000005E-3</v>
      </c>
    </row>
    <row r="57" spans="1:14" x14ac:dyDescent="0.2">
      <c r="A57" t="s">
        <v>53</v>
      </c>
      <c r="B57" s="17"/>
      <c r="C57" s="17">
        <v>1.2427307692307692E-2</v>
      </c>
      <c r="D57" s="17">
        <v>2.2476999999999983E-2</v>
      </c>
      <c r="E57" s="17">
        <v>2.5177000000000001E-2</v>
      </c>
      <c r="F57" s="17">
        <v>3.0227E-2</v>
      </c>
      <c r="G57" s="17">
        <v>2.5625000000000005E-2</v>
      </c>
      <c r="H57" s="17">
        <v>2.8625000000000005E-2</v>
      </c>
      <c r="I57" s="17">
        <v>1.7125000000000001E-2</v>
      </c>
      <c r="J57" s="32">
        <v>0</v>
      </c>
      <c r="K57" s="18">
        <v>2.129E-2</v>
      </c>
      <c r="L57" s="18">
        <v>2.4577200000000004E-2</v>
      </c>
      <c r="M57" s="18">
        <v>1.8098599999999999E-2</v>
      </c>
      <c r="N57" s="18">
        <v>8.1277999999999975E-3</v>
      </c>
    </row>
    <row r="58" spans="1:14" x14ac:dyDescent="0.2">
      <c r="A58" t="s">
        <v>7</v>
      </c>
      <c r="B58" s="17"/>
      <c r="C58" s="17">
        <v>1.2810000000000002E-2</v>
      </c>
      <c r="D58" s="17">
        <v>2.2476999999999997E-2</v>
      </c>
      <c r="E58" s="17">
        <v>2.5177000000000001E-2</v>
      </c>
      <c r="F58" s="17">
        <v>3.0227E-2</v>
      </c>
      <c r="G58" s="17">
        <v>2.5625000000000002E-2</v>
      </c>
      <c r="H58" s="17">
        <v>2.8624999999999991E-2</v>
      </c>
      <c r="I58" s="17">
        <v>1.7125000000000001E-2</v>
      </c>
      <c r="J58" s="32">
        <v>0</v>
      </c>
      <c r="K58" s="18">
        <v>1.6292600000000001E-2</v>
      </c>
      <c r="L58" s="18">
        <v>2.0712600000000001E-2</v>
      </c>
      <c r="M58" s="18">
        <v>1.3418599999999999E-2</v>
      </c>
      <c r="N58" s="18">
        <v>8.7098000000000002E-3</v>
      </c>
    </row>
    <row r="59" spans="1:14" x14ac:dyDescent="0.2">
      <c r="A59" t="s">
        <v>7</v>
      </c>
      <c r="B59" s="17"/>
      <c r="C59" s="17">
        <v>1.27105E-2</v>
      </c>
      <c r="D59" s="17">
        <v>2.2476999999999997E-2</v>
      </c>
      <c r="E59" s="17">
        <v>2.5177000000000001E-2</v>
      </c>
      <c r="F59" s="17">
        <v>3.0227E-2</v>
      </c>
      <c r="G59" s="17">
        <v>2.5625000000000005E-2</v>
      </c>
      <c r="H59" s="17">
        <v>2.8624999999999994E-2</v>
      </c>
      <c r="I59" s="17">
        <v>1.7125000000000001E-2</v>
      </c>
      <c r="J59" s="32">
        <v>0</v>
      </c>
      <c r="K59" s="18">
        <v>2.1290000000000003E-2</v>
      </c>
      <c r="L59" s="18">
        <v>2.45772E-2</v>
      </c>
      <c r="M59" s="18">
        <v>1.8098599999999999E-2</v>
      </c>
      <c r="N59" s="18">
        <v>8.9593999999999993E-3</v>
      </c>
    </row>
    <row r="60" spans="1:14" x14ac:dyDescent="0.2">
      <c r="A60" t="s">
        <v>7</v>
      </c>
      <c r="B60" s="17"/>
      <c r="C60" s="17">
        <v>1.3304999999999997E-2</v>
      </c>
      <c r="D60" s="17">
        <v>2.2476999999999997E-2</v>
      </c>
      <c r="E60" s="17">
        <v>2.5177000000000001E-2</v>
      </c>
      <c r="F60" s="17">
        <v>3.0226999999999997E-2</v>
      </c>
      <c r="G60" s="17">
        <v>2.5625000000000005E-2</v>
      </c>
      <c r="H60" s="17">
        <v>2.8624999999999991E-2</v>
      </c>
      <c r="I60" s="17">
        <v>1.7125000000000001E-2</v>
      </c>
      <c r="J60" s="32">
        <v>0</v>
      </c>
      <c r="K60" s="18">
        <v>2.1290000000000003E-2</v>
      </c>
      <c r="L60" s="18">
        <v>2.45772E-2</v>
      </c>
      <c r="M60" s="18">
        <v>1.8098599999999999E-2</v>
      </c>
      <c r="N60" s="18">
        <v>8.9593999999999993E-3</v>
      </c>
    </row>
  </sheetData>
  <autoFilter ref="A1:N60" xr:uid="{C9E86854-4974-406E-B70C-0023474931E7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7A5E9-8249-46B7-A1C8-AB3836DB7148}">
  <dimension ref="A1:P41"/>
  <sheetViews>
    <sheetView showGridLines="0" workbookViewId="0">
      <selection activeCell="E20" sqref="E20"/>
    </sheetView>
  </sheetViews>
  <sheetFormatPr baseColWidth="10" defaultColWidth="8.83203125" defaultRowHeight="15" x14ac:dyDescent="0.2"/>
  <cols>
    <col min="4" max="4" width="22" customWidth="1"/>
    <col min="7" max="7" width="9.1640625" bestFit="1" customWidth="1"/>
  </cols>
  <sheetData>
    <row r="1" spans="1:16" x14ac:dyDescent="0.2">
      <c r="K1" t="s">
        <v>63</v>
      </c>
      <c r="L1" t="s">
        <v>64</v>
      </c>
      <c r="M1" t="s">
        <v>65</v>
      </c>
      <c r="N1" t="s">
        <v>66</v>
      </c>
      <c r="P1">
        <f>'Simulador Eco Circ Verde'!C24</f>
        <v>26000</v>
      </c>
    </row>
    <row r="2" spans="1:16" x14ac:dyDescent="0.2">
      <c r="A2" t="s">
        <v>38</v>
      </c>
      <c r="B2" t="s">
        <v>27</v>
      </c>
      <c r="C2" t="s">
        <v>31</v>
      </c>
      <c r="D2" t="s">
        <v>8</v>
      </c>
      <c r="E2">
        <v>2</v>
      </c>
      <c r="F2">
        <v>7</v>
      </c>
      <c r="G2" s="48">
        <v>500</v>
      </c>
      <c r="H2" s="50">
        <v>0</v>
      </c>
      <c r="I2" t="s">
        <v>54</v>
      </c>
      <c r="J2" s="27">
        <f>IF(P2=0%,"",P2)</f>
        <v>2.9899999999999999E-2</v>
      </c>
      <c r="K2" s="27">
        <f t="shared" ref="K2:L4" si="0">K3+0.1%</f>
        <v>1.9900000000000001E-2</v>
      </c>
      <c r="L2" s="27">
        <f t="shared" si="0"/>
        <v>1.9900000000000008E-2</v>
      </c>
      <c r="M2" s="27">
        <f t="shared" ref="M2:N9" si="1">M3+0.1%</f>
        <v>1.9900000000000008E-2</v>
      </c>
      <c r="N2" s="27">
        <f t="shared" si="1"/>
        <v>1.9900000000000008E-2</v>
      </c>
      <c r="P2" s="27">
        <v>2.9899999999999999E-2</v>
      </c>
    </row>
    <row r="3" spans="1:16" x14ac:dyDescent="0.2">
      <c r="A3" t="s">
        <v>69</v>
      </c>
      <c r="B3" t="s">
        <v>32</v>
      </c>
      <c r="C3" t="s">
        <v>33</v>
      </c>
      <c r="D3" t="s">
        <v>9</v>
      </c>
      <c r="E3">
        <v>3</v>
      </c>
      <c r="F3">
        <v>8</v>
      </c>
      <c r="G3" s="48">
        <f>G2+100</f>
        <v>600</v>
      </c>
      <c r="H3" s="27">
        <v>5.0000000000000001E-3</v>
      </c>
      <c r="I3" t="s">
        <v>55</v>
      </c>
      <c r="J3" s="27">
        <f t="shared" ref="J3:J12" si="2">IF(P3=0%,"",P3)</f>
        <v>2.4899999999999999E-2</v>
      </c>
      <c r="K3" s="27">
        <v>1.89E-2</v>
      </c>
      <c r="L3" s="27">
        <f t="shared" si="0"/>
        <v>1.8900000000000007E-2</v>
      </c>
      <c r="M3" s="27">
        <f t="shared" si="1"/>
        <v>1.8900000000000007E-2</v>
      </c>
      <c r="N3" s="27">
        <f t="shared" ref="N3:N10" si="3">N4+0.1%</f>
        <v>1.8900000000000007E-2</v>
      </c>
      <c r="P3" s="27">
        <f>P2-0.5%</f>
        <v>2.4899999999999999E-2</v>
      </c>
    </row>
    <row r="4" spans="1:16" x14ac:dyDescent="0.2">
      <c r="C4" t="s">
        <v>34</v>
      </c>
      <c r="D4" t="s">
        <v>30</v>
      </c>
      <c r="E4">
        <v>4</v>
      </c>
      <c r="F4">
        <v>9</v>
      </c>
      <c r="G4" s="48">
        <f t="shared" ref="G4:G37" si="4">G3+100</f>
        <v>700</v>
      </c>
      <c r="H4" s="27">
        <f>H3+0.5%</f>
        <v>0.01</v>
      </c>
      <c r="I4" t="s">
        <v>56</v>
      </c>
      <c r="J4" s="27">
        <f t="shared" si="2"/>
        <v>1.9899999999999998E-2</v>
      </c>
      <c r="K4" s="27">
        <v>1.7900000000000006E-2</v>
      </c>
      <c r="L4" s="27">
        <f t="shared" si="0"/>
        <v>1.7900000000000006E-2</v>
      </c>
      <c r="M4" s="27">
        <f t="shared" si="1"/>
        <v>1.7900000000000006E-2</v>
      </c>
      <c r="N4" s="27">
        <f t="shared" si="3"/>
        <v>1.7900000000000006E-2</v>
      </c>
      <c r="P4" s="27">
        <f t="shared" ref="P4:P6" si="5">P3-0.5%</f>
        <v>1.9899999999999998E-2</v>
      </c>
    </row>
    <row r="5" spans="1:16" x14ac:dyDescent="0.2">
      <c r="D5" t="s">
        <v>5</v>
      </c>
      <c r="E5">
        <v>5</v>
      </c>
      <c r="F5">
        <v>10</v>
      </c>
      <c r="G5" s="48">
        <f t="shared" si="4"/>
        <v>800</v>
      </c>
      <c r="H5" s="27">
        <f t="shared" ref="H5:H32" si="6">H4+0.5%</f>
        <v>1.4999999999999999E-2</v>
      </c>
      <c r="I5" t="s">
        <v>58</v>
      </c>
      <c r="J5" s="27">
        <f t="shared" si="2"/>
        <v>1.4899999999999997E-2</v>
      </c>
      <c r="K5" s="27"/>
      <c r="L5" s="27">
        <v>1.6900000000000005E-2</v>
      </c>
      <c r="M5" s="27">
        <f t="shared" si="1"/>
        <v>1.6900000000000005E-2</v>
      </c>
      <c r="N5" s="27">
        <f t="shared" si="3"/>
        <v>1.6900000000000005E-2</v>
      </c>
      <c r="P5" s="27">
        <f t="shared" si="5"/>
        <v>1.4899999999999997E-2</v>
      </c>
    </row>
    <row r="6" spans="1:16" x14ac:dyDescent="0.2">
      <c r="D6" t="s">
        <v>6</v>
      </c>
      <c r="E6">
        <v>6</v>
      </c>
      <c r="F6">
        <v>11</v>
      </c>
      <c r="G6" s="48">
        <f t="shared" si="4"/>
        <v>900</v>
      </c>
      <c r="H6" s="27">
        <f t="shared" si="6"/>
        <v>0.02</v>
      </c>
      <c r="I6" t="s">
        <v>57</v>
      </c>
      <c r="J6" s="27">
        <f t="shared" si="2"/>
        <v>9.8999999999999956E-3</v>
      </c>
      <c r="K6" s="27"/>
      <c r="L6" s="27">
        <v>1.5900000000000004E-2</v>
      </c>
      <c r="M6" s="27">
        <f t="shared" si="1"/>
        <v>1.5900000000000004E-2</v>
      </c>
      <c r="N6" s="27">
        <f t="shared" si="3"/>
        <v>1.5900000000000004E-2</v>
      </c>
      <c r="P6" s="27">
        <f t="shared" si="5"/>
        <v>9.8999999999999956E-3</v>
      </c>
    </row>
    <row r="7" spans="1:16" x14ac:dyDescent="0.2">
      <c r="D7" t="s">
        <v>50</v>
      </c>
      <c r="F7">
        <v>12</v>
      </c>
      <c r="G7" s="48">
        <f t="shared" si="4"/>
        <v>1000</v>
      </c>
      <c r="H7" s="27">
        <f t="shared" si="6"/>
        <v>2.5000000000000001E-2</v>
      </c>
      <c r="I7" t="s">
        <v>59</v>
      </c>
      <c r="J7" s="27" t="str">
        <f t="shared" si="2"/>
        <v/>
      </c>
      <c r="K7" s="27"/>
      <c r="L7" s="27">
        <v>1.4900000000000004E-2</v>
      </c>
      <c r="M7" s="27">
        <f t="shared" si="1"/>
        <v>1.4900000000000004E-2</v>
      </c>
      <c r="N7" s="27">
        <f t="shared" si="3"/>
        <v>1.4900000000000004E-2</v>
      </c>
      <c r="P7" s="27">
        <v>0</v>
      </c>
    </row>
    <row r="8" spans="1:16" x14ac:dyDescent="0.2">
      <c r="D8" t="s">
        <v>51</v>
      </c>
      <c r="E8" s="21"/>
      <c r="G8" s="48">
        <f t="shared" si="4"/>
        <v>1100</v>
      </c>
      <c r="H8" s="27">
        <f t="shared" si="6"/>
        <v>3.0000000000000002E-2</v>
      </c>
      <c r="I8" t="s">
        <v>60</v>
      </c>
      <c r="J8" s="27" t="str">
        <f t="shared" si="2"/>
        <v/>
      </c>
      <c r="K8" s="27"/>
      <c r="L8" s="27"/>
      <c r="M8" s="27">
        <f t="shared" si="1"/>
        <v>1.3900000000000003E-2</v>
      </c>
      <c r="N8" s="27">
        <f t="shared" si="3"/>
        <v>1.3900000000000003E-2</v>
      </c>
      <c r="P8" s="27">
        <f t="shared" ref="P8:P12" si="7">IF($P$1&lt;=30000,K8,IF($P$1&lt;=50000,L8,IF($P$1&lt;=75000,M8,N8)))</f>
        <v>0</v>
      </c>
    </row>
    <row r="9" spans="1:16" x14ac:dyDescent="0.2">
      <c r="D9" t="s">
        <v>52</v>
      </c>
      <c r="E9" s="21"/>
      <c r="G9" s="48">
        <f t="shared" si="4"/>
        <v>1200</v>
      </c>
      <c r="H9" s="27">
        <f t="shared" si="6"/>
        <v>3.5000000000000003E-2</v>
      </c>
      <c r="I9" t="s">
        <v>1</v>
      </c>
      <c r="J9" s="27" t="str">
        <f t="shared" si="2"/>
        <v/>
      </c>
      <c r="K9" s="27"/>
      <c r="L9" s="27"/>
      <c r="M9" s="27">
        <f t="shared" si="1"/>
        <v>1.2900000000000002E-2</v>
      </c>
      <c r="N9" s="27">
        <f t="shared" si="3"/>
        <v>1.2900000000000002E-2</v>
      </c>
      <c r="P9" s="27">
        <f t="shared" si="7"/>
        <v>0</v>
      </c>
    </row>
    <row r="10" spans="1:16" x14ac:dyDescent="0.2">
      <c r="D10" t="s">
        <v>53</v>
      </c>
      <c r="E10" s="21"/>
      <c r="G10" s="48">
        <f t="shared" si="4"/>
        <v>1300</v>
      </c>
      <c r="H10" s="27">
        <f t="shared" si="6"/>
        <v>0.04</v>
      </c>
      <c r="I10" t="s">
        <v>61</v>
      </c>
      <c r="J10" s="27" t="str">
        <f t="shared" si="2"/>
        <v/>
      </c>
      <c r="K10" s="27"/>
      <c r="L10" s="27"/>
      <c r="M10" s="27">
        <v>1.1900000000000001E-2</v>
      </c>
      <c r="N10" s="27">
        <f t="shared" si="3"/>
        <v>1.1900000000000001E-2</v>
      </c>
      <c r="P10" s="27">
        <f t="shared" si="7"/>
        <v>0</v>
      </c>
    </row>
    <row r="11" spans="1:16" x14ac:dyDescent="0.2">
      <c r="E11" s="21"/>
      <c r="G11" s="48">
        <f t="shared" si="4"/>
        <v>1400</v>
      </c>
      <c r="H11" s="27">
        <f t="shared" si="6"/>
        <v>4.4999999999999998E-2</v>
      </c>
      <c r="I11" t="s">
        <v>62</v>
      </c>
      <c r="J11" s="27" t="str">
        <f t="shared" si="2"/>
        <v/>
      </c>
      <c r="K11" s="27"/>
      <c r="L11" s="27"/>
      <c r="M11" s="27"/>
      <c r="N11" s="27">
        <f>N12+0.1%</f>
        <v>1.09E-2</v>
      </c>
      <c r="P11" s="27">
        <f t="shared" si="7"/>
        <v>0</v>
      </c>
    </row>
    <row r="12" spans="1:16" x14ac:dyDescent="0.2">
      <c r="E12" s="21"/>
      <c r="G12" s="48">
        <f t="shared" si="4"/>
        <v>1500</v>
      </c>
      <c r="H12" s="27">
        <f t="shared" si="6"/>
        <v>4.9999999999999996E-2</v>
      </c>
      <c r="J12" s="27" t="str">
        <f t="shared" si="2"/>
        <v/>
      </c>
      <c r="K12" s="50"/>
      <c r="L12" s="50"/>
      <c r="M12" s="27"/>
      <c r="N12" s="27">
        <v>9.9000000000000008E-3</v>
      </c>
      <c r="P12" s="27">
        <f t="shared" si="7"/>
        <v>0</v>
      </c>
    </row>
    <row r="13" spans="1:16" x14ac:dyDescent="0.2">
      <c r="E13" s="21"/>
      <c r="G13" s="48">
        <f t="shared" si="4"/>
        <v>1600</v>
      </c>
      <c r="H13" s="27">
        <f t="shared" si="6"/>
        <v>5.4999999999999993E-2</v>
      </c>
    </row>
    <row r="14" spans="1:16" x14ac:dyDescent="0.2">
      <c r="E14" s="21"/>
      <c r="G14" s="48">
        <f t="shared" si="4"/>
        <v>1700</v>
      </c>
      <c r="H14" s="27">
        <f t="shared" si="6"/>
        <v>5.9999999999999991E-2</v>
      </c>
    </row>
    <row r="15" spans="1:16" x14ac:dyDescent="0.2">
      <c r="E15" s="21"/>
      <c r="G15" s="48">
        <f t="shared" si="4"/>
        <v>1800</v>
      </c>
      <c r="H15" s="27">
        <f t="shared" si="6"/>
        <v>6.4999999999999988E-2</v>
      </c>
    </row>
    <row r="16" spans="1:16" x14ac:dyDescent="0.2">
      <c r="E16" s="21"/>
      <c r="G16" s="48">
        <f t="shared" si="4"/>
        <v>1900</v>
      </c>
      <c r="H16" s="27">
        <f t="shared" si="6"/>
        <v>6.9999999999999993E-2</v>
      </c>
    </row>
    <row r="17" spans="5:8" x14ac:dyDescent="0.2">
      <c r="E17" s="21"/>
      <c r="G17" s="48">
        <f t="shared" si="4"/>
        <v>2000</v>
      </c>
      <c r="H17" s="27">
        <f t="shared" si="6"/>
        <v>7.4999999999999997E-2</v>
      </c>
    </row>
    <row r="18" spans="5:8" x14ac:dyDescent="0.2">
      <c r="G18" s="48">
        <f t="shared" si="4"/>
        <v>2100</v>
      </c>
      <c r="H18" s="27">
        <f t="shared" si="6"/>
        <v>0.08</v>
      </c>
    </row>
    <row r="19" spans="5:8" x14ac:dyDescent="0.2">
      <c r="G19" s="48">
        <f t="shared" si="4"/>
        <v>2200</v>
      </c>
      <c r="H19" s="27">
        <f t="shared" si="6"/>
        <v>8.5000000000000006E-2</v>
      </c>
    </row>
    <row r="20" spans="5:8" x14ac:dyDescent="0.2">
      <c r="G20" s="48">
        <f t="shared" si="4"/>
        <v>2300</v>
      </c>
      <c r="H20" s="27">
        <f t="shared" si="6"/>
        <v>9.0000000000000011E-2</v>
      </c>
    </row>
    <row r="21" spans="5:8" x14ac:dyDescent="0.2">
      <c r="G21" s="48">
        <f t="shared" si="4"/>
        <v>2400</v>
      </c>
      <c r="H21" s="27">
        <f t="shared" si="6"/>
        <v>9.5000000000000015E-2</v>
      </c>
    </row>
    <row r="22" spans="5:8" x14ac:dyDescent="0.2">
      <c r="G22" s="48">
        <f t="shared" si="4"/>
        <v>2500</v>
      </c>
      <c r="H22" s="27">
        <f t="shared" si="6"/>
        <v>0.10000000000000002</v>
      </c>
    </row>
    <row r="23" spans="5:8" x14ac:dyDescent="0.2">
      <c r="G23" s="48">
        <f t="shared" si="4"/>
        <v>2600</v>
      </c>
      <c r="H23" s="27">
        <f t="shared" si="6"/>
        <v>0.10500000000000002</v>
      </c>
    </row>
    <row r="24" spans="5:8" x14ac:dyDescent="0.2">
      <c r="G24" s="48">
        <f t="shared" si="4"/>
        <v>2700</v>
      </c>
      <c r="H24" s="27">
        <f t="shared" si="6"/>
        <v>0.11000000000000003</v>
      </c>
    </row>
    <row r="25" spans="5:8" x14ac:dyDescent="0.2">
      <c r="G25" s="48">
        <f t="shared" si="4"/>
        <v>2800</v>
      </c>
      <c r="H25" s="27">
        <f t="shared" si="6"/>
        <v>0.11500000000000003</v>
      </c>
    </row>
    <row r="26" spans="5:8" x14ac:dyDescent="0.2">
      <c r="G26" s="48">
        <f t="shared" si="4"/>
        <v>2900</v>
      </c>
      <c r="H26" s="27">
        <f t="shared" si="6"/>
        <v>0.12000000000000004</v>
      </c>
    </row>
    <row r="27" spans="5:8" x14ac:dyDescent="0.2">
      <c r="G27" s="48">
        <f t="shared" si="4"/>
        <v>3000</v>
      </c>
      <c r="H27" s="27">
        <f t="shared" si="6"/>
        <v>0.12500000000000003</v>
      </c>
    </row>
    <row r="28" spans="5:8" x14ac:dyDescent="0.2">
      <c r="G28" s="48">
        <f t="shared" si="4"/>
        <v>3100</v>
      </c>
      <c r="H28" s="27">
        <f t="shared" si="6"/>
        <v>0.13000000000000003</v>
      </c>
    </row>
    <row r="29" spans="5:8" x14ac:dyDescent="0.2">
      <c r="G29" s="48">
        <f t="shared" si="4"/>
        <v>3200</v>
      </c>
      <c r="H29" s="27">
        <f t="shared" si="6"/>
        <v>0.13500000000000004</v>
      </c>
    </row>
    <row r="30" spans="5:8" x14ac:dyDescent="0.2">
      <c r="G30" s="48">
        <f t="shared" si="4"/>
        <v>3300</v>
      </c>
      <c r="H30" s="27">
        <f t="shared" si="6"/>
        <v>0.14000000000000004</v>
      </c>
    </row>
    <row r="31" spans="5:8" x14ac:dyDescent="0.2">
      <c r="G31" s="48">
        <f t="shared" si="4"/>
        <v>3400</v>
      </c>
      <c r="H31" s="27">
        <f t="shared" si="6"/>
        <v>0.14500000000000005</v>
      </c>
    </row>
    <row r="32" spans="5:8" x14ac:dyDescent="0.2">
      <c r="G32" s="48">
        <f t="shared" si="4"/>
        <v>3500</v>
      </c>
      <c r="H32" s="27">
        <f t="shared" si="6"/>
        <v>0.15000000000000005</v>
      </c>
    </row>
    <row r="33" spans="7:8" x14ac:dyDescent="0.2">
      <c r="G33" s="48">
        <f t="shared" si="4"/>
        <v>3600</v>
      </c>
      <c r="H33" s="27"/>
    </row>
    <row r="34" spans="7:8" x14ac:dyDescent="0.2">
      <c r="G34" s="48">
        <f t="shared" si="4"/>
        <v>3700</v>
      </c>
      <c r="H34" s="27"/>
    </row>
    <row r="35" spans="7:8" x14ac:dyDescent="0.2">
      <c r="G35" s="48">
        <f t="shared" si="4"/>
        <v>3800</v>
      </c>
      <c r="H35" s="27"/>
    </row>
    <row r="36" spans="7:8" x14ac:dyDescent="0.2">
      <c r="G36" s="48">
        <f t="shared" si="4"/>
        <v>3900</v>
      </c>
      <c r="H36" s="27"/>
    </row>
    <row r="37" spans="7:8" x14ac:dyDescent="0.2">
      <c r="G37" s="48">
        <f t="shared" si="4"/>
        <v>4000</v>
      </c>
      <c r="H37" s="27"/>
    </row>
    <row r="38" spans="7:8" x14ac:dyDescent="0.2">
      <c r="H38" s="27"/>
    </row>
    <row r="39" spans="7:8" x14ac:dyDescent="0.2">
      <c r="H39" s="27"/>
    </row>
    <row r="40" spans="7:8" x14ac:dyDescent="0.2">
      <c r="H40" s="27"/>
    </row>
    <row r="41" spans="7:8" x14ac:dyDescent="0.2">
      <c r="H41" s="27"/>
    </row>
  </sheetData>
  <sortState xmlns:xlrd2="http://schemas.microsoft.com/office/spreadsheetml/2017/richdata2" ref="K2:K12">
    <sortCondition descending="1" ref="K2:K12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535188B93A19499FF495532438BA63" ma:contentTypeVersion="12" ma:contentTypeDescription="Crie um novo documento." ma:contentTypeScope="" ma:versionID="52a9a9f61f9926e8368d8d9793f2a896">
  <xsd:schema xmlns:xsd="http://www.w3.org/2001/XMLSchema" xmlns:xs="http://www.w3.org/2001/XMLSchema" xmlns:p="http://schemas.microsoft.com/office/2006/metadata/properties" xmlns:ns2="65e923a8-8bab-45f5-803b-15b855c18e4e" xmlns:ns3="d072ca64-e262-4cbf-94eb-3823e27e0136" targetNamespace="http://schemas.microsoft.com/office/2006/metadata/properties" ma:root="true" ma:fieldsID="7b7fe8de09298f798f58dc73169d4bf9" ns2:_="" ns3:_="">
    <xsd:import namespace="65e923a8-8bab-45f5-803b-15b855c18e4e"/>
    <xsd:import namespace="d072ca64-e262-4cbf-94eb-3823e27e0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e923a8-8bab-45f5-803b-15b855c18e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2ca64-e262-4cbf-94eb-3823e27e0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94F9AD-6D3B-40DE-AEAA-56166D6272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7FAB2F-6153-42EB-AF61-1B6B9B7333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e923a8-8bab-45f5-803b-15b855c18e4e"/>
    <ds:schemaRef ds:uri="d072ca64-e262-4cbf-94eb-3823e27e01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6637DB-3C4D-4E6D-8B69-5B68ECC25787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d072ca64-e262-4cbf-94eb-3823e27e0136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5e923a8-8bab-45f5-803b-15b855c18e4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7</vt:i4>
      </vt:variant>
    </vt:vector>
  </HeadingPairs>
  <TitlesOfParts>
    <vt:vector size="16" baseType="lpstr">
      <vt:lpstr>Simulador &gt;&gt;</vt:lpstr>
      <vt:lpstr>Simulador Eco Circ Verde</vt:lpstr>
      <vt:lpstr>Inputs &gt;&gt;</vt:lpstr>
      <vt:lpstr>Pontos Ecoa</vt:lpstr>
      <vt:lpstr>Taxa Adquirência</vt:lpstr>
      <vt:lpstr>Antecipação</vt:lpstr>
      <vt:lpstr>Outros Serviços</vt:lpstr>
      <vt:lpstr>Taxas Bandeira</vt:lpstr>
      <vt:lpstr>Outros</vt:lpstr>
      <vt:lpstr>'Outros Serviços'!Area_de_impressao</vt:lpstr>
      <vt:lpstr>'Pontos Ecoa'!Area_de_impressao</vt:lpstr>
      <vt:lpstr>'Simulador Eco Circ Verde'!Area_de_impressao</vt:lpstr>
      <vt:lpstr>Bandeiras</vt:lpstr>
      <vt:lpstr>'Outros Serviços'!Titulos_de_impressao</vt:lpstr>
      <vt:lpstr>'Pontos Ecoa'!Titulos_de_impressao</vt:lpstr>
      <vt:lpstr>Varejo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Di Lorenzo</dc:creator>
  <cp:lastModifiedBy>.</cp:lastModifiedBy>
  <cp:lastPrinted>2021-04-12T14:10:55Z</cp:lastPrinted>
  <dcterms:created xsi:type="dcterms:W3CDTF">2020-06-27T20:27:02Z</dcterms:created>
  <dcterms:modified xsi:type="dcterms:W3CDTF">2025-12-23T18:49:54Z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0x0101009B535188B93A19499FF495532438BA63</vt:lpwstr>
  </property>
</Properties>
</file>